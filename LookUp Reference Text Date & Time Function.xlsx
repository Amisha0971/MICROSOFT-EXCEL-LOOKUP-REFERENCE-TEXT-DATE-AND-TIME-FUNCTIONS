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/>
  <xr:revisionPtr revIDLastSave="0" documentId="8_{EF5A338F-C527-46FF-9568-6100A6C63F3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19" i="1"/>
  <c r="C427" i="1"/>
  <c r="C554" i="1"/>
  <c r="C555" i="1"/>
  <c r="C553" i="1"/>
  <c r="B549" i="1"/>
  <c r="B548" i="1"/>
  <c r="F542" i="1"/>
  <c r="F543" i="1"/>
  <c r="F544" i="1"/>
  <c r="F541" i="1"/>
  <c r="C537" i="1"/>
  <c r="C536" i="1"/>
  <c r="C531" i="1"/>
  <c r="C530" i="1"/>
  <c r="C532" i="1"/>
  <c r="C529" i="1"/>
  <c r="B525" i="1"/>
  <c r="B524" i="1"/>
  <c r="B522" i="1"/>
  <c r="B523" i="1"/>
  <c r="B521" i="1"/>
  <c r="C515" i="1"/>
  <c r="C516" i="1"/>
  <c r="C517" i="1"/>
  <c r="B516" i="1"/>
  <c r="B517" i="1"/>
  <c r="B515" i="1"/>
  <c r="D511" i="1"/>
  <c r="D505" i="1"/>
  <c r="D506" i="1"/>
  <c r="D507" i="1"/>
  <c r="D508" i="1"/>
  <c r="D509" i="1"/>
  <c r="D510" i="1"/>
  <c r="D504" i="1"/>
  <c r="B496" i="1"/>
  <c r="B497" i="1"/>
  <c r="B498" i="1"/>
  <c r="B499" i="1"/>
  <c r="B500" i="1"/>
  <c r="F492" i="1"/>
  <c r="F491" i="1"/>
  <c r="F490" i="1"/>
  <c r="F489" i="1"/>
  <c r="C483" i="1"/>
  <c r="C484" i="1"/>
  <c r="C485" i="1"/>
  <c r="C482" i="1"/>
  <c r="B478" i="1"/>
  <c r="B477" i="1"/>
  <c r="B470" i="1"/>
  <c r="B471" i="1"/>
  <c r="B472" i="1"/>
  <c r="B473" i="1"/>
  <c r="B469" i="1"/>
  <c r="B464" i="1"/>
  <c r="B465" i="1"/>
  <c r="B463" i="1"/>
  <c r="C458" i="1"/>
  <c r="C459" i="1"/>
  <c r="C457" i="1"/>
  <c r="C452" i="1"/>
  <c r="C453" i="1"/>
  <c r="C451" i="1"/>
  <c r="D440" i="1"/>
  <c r="D441" i="1"/>
  <c r="D442" i="1"/>
  <c r="D443" i="1"/>
  <c r="D444" i="1"/>
  <c r="D445" i="1"/>
  <c r="D446" i="1"/>
  <c r="D447" i="1"/>
  <c r="D439" i="1"/>
  <c r="C440" i="1"/>
  <c r="C441" i="1"/>
  <c r="C442" i="1"/>
  <c r="C443" i="1"/>
  <c r="C444" i="1"/>
  <c r="C445" i="1"/>
  <c r="C446" i="1"/>
  <c r="C447" i="1"/>
  <c r="C439" i="1"/>
  <c r="C434" i="1"/>
  <c r="C435" i="1"/>
  <c r="C433" i="1"/>
  <c r="C428" i="1"/>
  <c r="C429" i="1"/>
  <c r="C422" i="1"/>
  <c r="C421" i="1"/>
  <c r="C420" i="1"/>
  <c r="C423" i="1" s="1"/>
  <c r="B415" i="1"/>
  <c r="C414" i="1"/>
  <c r="B414" i="1"/>
  <c r="B394" i="1"/>
  <c r="B374" i="1"/>
  <c r="C350" i="1"/>
  <c r="C351" i="1"/>
  <c r="C352" i="1"/>
  <c r="C353" i="1"/>
  <c r="C354" i="1"/>
  <c r="C349" i="1"/>
  <c r="D343" i="1"/>
  <c r="D344" i="1"/>
  <c r="D345" i="1"/>
  <c r="C343" i="1"/>
  <c r="C344" i="1"/>
  <c r="C345" i="1"/>
  <c r="D342" i="1"/>
  <c r="C342" i="1"/>
  <c r="D328" i="1"/>
  <c r="D323" i="1"/>
  <c r="D324" i="1"/>
  <c r="D325" i="1"/>
  <c r="D326" i="1"/>
  <c r="D327" i="1"/>
  <c r="D329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04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285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66" i="1"/>
  <c r="E248" i="1"/>
  <c r="E249" i="1"/>
  <c r="E250" i="1"/>
  <c r="E247" i="1"/>
  <c r="D229" i="1"/>
  <c r="D228" i="1"/>
  <c r="D230" i="1"/>
  <c r="D231" i="1"/>
  <c r="E223" i="1"/>
  <c r="E224" i="1"/>
  <c r="G223" i="1"/>
  <c r="G224" i="1"/>
  <c r="G222" i="1"/>
  <c r="F223" i="1"/>
  <c r="F224" i="1"/>
  <c r="F222" i="1"/>
  <c r="E222" i="1"/>
  <c r="B218" i="1"/>
  <c r="B203" i="1"/>
  <c r="B204" i="1"/>
  <c r="B205" i="1"/>
  <c r="B202" i="1"/>
  <c r="E197" i="1"/>
  <c r="E198" i="1"/>
  <c r="E196" i="1"/>
  <c r="D197" i="1"/>
  <c r="D198" i="1"/>
  <c r="D196" i="1"/>
  <c r="C197" i="1"/>
  <c r="C198" i="1"/>
  <c r="C196" i="1"/>
  <c r="B192" i="1"/>
  <c r="B191" i="1"/>
  <c r="C188" i="1" s="1"/>
  <c r="C174" i="1"/>
  <c r="C173" i="1"/>
  <c r="C172" i="1"/>
  <c r="C171" i="1"/>
  <c r="C170" i="1"/>
  <c r="C166" i="1"/>
  <c r="C165" i="1"/>
  <c r="C164" i="1"/>
  <c r="C163" i="1"/>
  <c r="C162" i="1"/>
  <c r="C161" i="1"/>
  <c r="C160" i="1"/>
  <c r="C159" i="1"/>
  <c r="A152" i="1" a="1"/>
  <c r="A152" i="1"/>
  <c r="B139" i="1" a="1"/>
  <c r="B139" i="1"/>
  <c r="B136" i="1"/>
  <c r="B135" i="1"/>
  <c r="B134" i="1"/>
  <c r="B131" i="1"/>
  <c r="B130" i="1"/>
  <c r="B129" i="1"/>
  <c r="B126" i="1"/>
  <c r="B125" i="1"/>
  <c r="B124" i="1"/>
  <c r="B121" i="1"/>
  <c r="B120" i="1" a="1"/>
  <c r="B120" i="1"/>
  <c r="B119" i="1" a="1"/>
  <c r="B119" i="1"/>
  <c r="B118" i="1"/>
  <c r="B107" i="1"/>
  <c r="B106" i="1" a="1"/>
  <c r="B106" i="1"/>
  <c r="B105" i="1" a="1"/>
  <c r="B105" i="1"/>
  <c r="B104" i="1" a="1"/>
  <c r="B104" i="1"/>
  <c r="B101" i="1"/>
  <c r="B100" i="1"/>
  <c r="B99" i="1"/>
  <c r="B98" i="1"/>
  <c r="B97" i="1"/>
  <c r="B94" i="1" a="1"/>
  <c r="B94" i="1"/>
  <c r="B93" i="1"/>
  <c r="B92" i="1"/>
  <c r="B88" i="1" a="1"/>
  <c r="B88" i="1"/>
  <c r="B87" i="1"/>
  <c r="B86" i="1"/>
  <c r="B85" i="1"/>
  <c r="E75" i="1"/>
  <c r="E74" i="1"/>
  <c r="D58" i="1" a="1"/>
  <c r="D58" i="1"/>
  <c r="D57" i="1"/>
  <c r="Q14" i="1"/>
  <c r="C45" i="1"/>
  <c r="C46" i="1"/>
  <c r="C47" i="1"/>
  <c r="C48" i="1"/>
  <c r="C49" i="1"/>
  <c r="C50" i="1"/>
  <c r="C51" i="1"/>
  <c r="C52" i="1"/>
  <c r="C44" i="1"/>
  <c r="B40" i="1"/>
  <c r="B39" i="1"/>
  <c r="E32" i="1"/>
  <c r="E31" i="1"/>
  <c r="E29" i="1"/>
  <c r="E28" i="1"/>
  <c r="B21" i="1"/>
  <c r="B15" i="1"/>
  <c r="C189" i="1" l="1"/>
  <c r="C190" i="1"/>
  <c r="C186" i="1"/>
  <c r="C187" i="1"/>
  <c r="C184" i="1"/>
  <c r="C185" i="1"/>
  <c r="C182" i="1"/>
  <c r="C183" i="1"/>
  <c r="C180" i="1"/>
  <c r="C181" i="1"/>
  <c r="C178" i="1"/>
  <c r="C179" i="1"/>
  <c r="B22" i="1"/>
  <c r="B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<sst xmlns="http://schemas.openxmlformats.org/spreadsheetml/2006/main" count="669" uniqueCount="391">
  <si>
    <t>LOOKUP FUNCTION</t>
  </si>
  <si>
    <t xml:space="preserve">FINDING LAST VALUE OR AMOUNT </t>
  </si>
  <si>
    <t>ID</t>
  </si>
  <si>
    <t>Employee Name</t>
  </si>
  <si>
    <t>Address</t>
  </si>
  <si>
    <t>Frequency</t>
  </si>
  <si>
    <t>Salary</t>
  </si>
  <si>
    <t>Tax Rate</t>
  </si>
  <si>
    <t>Insurance</t>
  </si>
  <si>
    <t>Percentage</t>
  </si>
  <si>
    <t>Invoice</t>
  </si>
  <si>
    <t>Item Count</t>
  </si>
  <si>
    <t>Amount</t>
  </si>
  <si>
    <t>Paige Jones</t>
  </si>
  <si>
    <t>427 John A. Creighton Boulevard</t>
  </si>
  <si>
    <t>IN6787</t>
  </si>
  <si>
    <t>Elijah Ward</t>
  </si>
  <si>
    <t>888 192nd Street Anytown, USA</t>
  </si>
  <si>
    <t>IN4374</t>
  </si>
  <si>
    <t>Elizabeth Marshall</t>
  </si>
  <si>
    <t>530 Dodge Street Anytown, USA</t>
  </si>
  <si>
    <t>IN5061</t>
  </si>
  <si>
    <t>Cooper Smith</t>
  </si>
  <si>
    <t>271 Dodge Street Anytown, USA</t>
  </si>
  <si>
    <t>IN4305</t>
  </si>
  <si>
    <t>Isabella Harris</t>
  </si>
  <si>
    <t>113 136th Street Anytown, USA</t>
  </si>
  <si>
    <t>IN1477</t>
  </si>
  <si>
    <t>Kaylee Perez</t>
  </si>
  <si>
    <t>772 North 30th Street Anytown</t>
  </si>
  <si>
    <t>IN5552</t>
  </si>
  <si>
    <t>Kimberly Hall</t>
  </si>
  <si>
    <t>652 Regency Parkway Drive Anytown</t>
  </si>
  <si>
    <t>IN8685</t>
  </si>
  <si>
    <t>Jesus Clark</t>
  </si>
  <si>
    <t>803 Fontenelle Boulevard Anytown</t>
  </si>
  <si>
    <t>IN1491</t>
  </si>
  <si>
    <t>Kylie Woods</t>
  </si>
  <si>
    <t>245 Fontenelle Boulevard Anytown</t>
  </si>
  <si>
    <t>IN2408</t>
  </si>
  <si>
    <t>Jackson Stephens</t>
  </si>
  <si>
    <t>827 Harrison Street Anytown, USA</t>
  </si>
  <si>
    <t>IN6513</t>
  </si>
  <si>
    <t>LAST INVOICE</t>
  </si>
  <si>
    <t>LAST AMOUNT</t>
  </si>
  <si>
    <t>Employee ID</t>
  </si>
  <si>
    <t>Check #</t>
  </si>
  <si>
    <t>Net Pay</t>
  </si>
  <si>
    <t>Employee Address</t>
  </si>
  <si>
    <t>530 Dodge Street Anytown, USA 12345</t>
  </si>
  <si>
    <t>Pay</t>
  </si>
  <si>
    <t>Taxes</t>
  </si>
  <si>
    <t>Retirement</t>
  </si>
  <si>
    <t>Total</t>
  </si>
  <si>
    <t>City</t>
  </si>
  <si>
    <t>State</t>
  </si>
  <si>
    <t>Store</t>
  </si>
  <si>
    <t>Chandhir</t>
  </si>
  <si>
    <t>AZ</t>
  </si>
  <si>
    <t>Glendale</t>
  </si>
  <si>
    <t>CA</t>
  </si>
  <si>
    <t>NH</t>
  </si>
  <si>
    <t>Fort Collies</t>
  </si>
  <si>
    <t>Gainesvilla</t>
  </si>
  <si>
    <t>FL</t>
  </si>
  <si>
    <t>Peoria</t>
  </si>
  <si>
    <t>IL</t>
  </si>
  <si>
    <t>Manchester</t>
  </si>
  <si>
    <t>LookUp City</t>
  </si>
  <si>
    <t>raleigh</t>
  </si>
  <si>
    <t>NC</t>
  </si>
  <si>
    <t>LookUp Store</t>
  </si>
  <si>
    <t>Grand Rapids</t>
  </si>
  <si>
    <t>MI</t>
  </si>
  <si>
    <t>HLOOKUP FUNCTION</t>
  </si>
  <si>
    <t>Chongqing</t>
  </si>
  <si>
    <t>Sao Paulo</t>
  </si>
  <si>
    <t>Kathmandu</t>
  </si>
  <si>
    <t>Casablance</t>
  </si>
  <si>
    <t>Lisbon</t>
  </si>
  <si>
    <t>Mumbai</t>
  </si>
  <si>
    <t>Honiara</t>
  </si>
  <si>
    <t>Edmonton</t>
  </si>
  <si>
    <t>Anadyr</t>
  </si>
  <si>
    <t>Lhasa</t>
  </si>
  <si>
    <t>Temp</t>
  </si>
  <si>
    <t>Your City</t>
  </si>
  <si>
    <t>Your Temp</t>
  </si>
  <si>
    <t>Index</t>
  </si>
  <si>
    <t>ERROR LOOKUP FUNCTION</t>
  </si>
  <si>
    <t>Company</t>
  </si>
  <si>
    <t>CEO</t>
  </si>
  <si>
    <t>Name</t>
  </si>
  <si>
    <t>2012 Salary</t>
  </si>
  <si>
    <t>Activision Blizzard Inc</t>
  </si>
  <si>
    <t>Robert A. Kotick</t>
  </si>
  <si>
    <t>David M. Cote</t>
  </si>
  <si>
    <t>CBS Corp</t>
  </si>
  <si>
    <t>Leslie Moonves</t>
  </si>
  <si>
    <t>Gregory B. Maffei</t>
  </si>
  <si>
    <t>Cheniere Energy Inc</t>
  </si>
  <si>
    <t>Charif Souki</t>
  </si>
  <si>
    <t>John H. Hammergren</t>
  </si>
  <si>
    <t>Credit Acceptance Corp</t>
  </si>
  <si>
    <t>Brett A. Roberts</t>
  </si>
  <si>
    <t>Discovery Communications Inc</t>
  </si>
  <si>
    <t>David M. Zaslav</t>
  </si>
  <si>
    <t>Mario J. Gabelli</t>
  </si>
  <si>
    <t>Disney (Walt) Co</t>
  </si>
  <si>
    <t>Robert A. Iger</t>
  </si>
  <si>
    <t>Marissa A. Mayer</t>
  </si>
  <si>
    <t>Exxon Mobil Corp</t>
  </si>
  <si>
    <t>R. W. Tillerson</t>
  </si>
  <si>
    <t>Mark G. Parker</t>
  </si>
  <si>
    <t>Gamco Investors Inc</t>
  </si>
  <si>
    <t>HCA Holdings Inc</t>
  </si>
  <si>
    <t>Richard M. Bracken</t>
  </si>
  <si>
    <t>Ralph Lauren</t>
  </si>
  <si>
    <t>CASE-SENSITIVE LOOKUP FUNCTION</t>
  </si>
  <si>
    <t>ID#</t>
  </si>
  <si>
    <t>Last Login</t>
  </si>
  <si>
    <t>Field</t>
  </si>
  <si>
    <t>Value</t>
  </si>
  <si>
    <t>0010857yY880</t>
  </si>
  <si>
    <t>0036624eF119</t>
  </si>
  <si>
    <t>0036624Ef119</t>
  </si>
  <si>
    <t>VLOOKUP Result</t>
  </si>
  <si>
    <t>0018059Jr916</t>
  </si>
  <si>
    <t>EXACT Result</t>
  </si>
  <si>
    <t>0089112nT313</t>
  </si>
  <si>
    <t>0096605op997</t>
  </si>
  <si>
    <t>0093443rE467</t>
  </si>
  <si>
    <t>0021987Rb889</t>
  </si>
  <si>
    <t>0001151aU085</t>
  </si>
  <si>
    <t>0029819aI048</t>
  </si>
  <si>
    <t>AGGREGATION LOOKUP FNCTION</t>
  </si>
  <si>
    <t>Date</t>
  </si>
  <si>
    <t>Ticket #</t>
  </si>
  <si>
    <t>Sale Amount</t>
  </si>
  <si>
    <t>Aggregates</t>
  </si>
  <si>
    <t>Sum</t>
  </si>
  <si>
    <t>Count</t>
  </si>
  <si>
    <t>Average</t>
  </si>
  <si>
    <t>Select an aggregate:</t>
  </si>
  <si>
    <t>The Count Is :</t>
  </si>
  <si>
    <t>Sub Total:</t>
  </si>
  <si>
    <t>ROW FUNCTION</t>
  </si>
  <si>
    <t>OUTPUT</t>
  </si>
  <si>
    <t>ROW()</t>
  </si>
  <si>
    <t>ROW(E7)</t>
  </si>
  <si>
    <t>ROW(G8:H9)</t>
  </si>
  <si>
    <t>COLUMN FUNCTION</t>
  </si>
  <si>
    <t>COLUMN()</t>
  </si>
  <si>
    <t>COLUMN(E6)</t>
  </si>
  <si>
    <t>COLUMN(G2:H3)</t>
  </si>
  <si>
    <t>ADDRESS FUNCTION</t>
  </si>
  <si>
    <t>ADDRESS(1,1)</t>
  </si>
  <si>
    <t>ADDRESS(1,1,3)</t>
  </si>
  <si>
    <t>ADDRESS(1,1,1,FLASE)</t>
  </si>
  <si>
    <t>ADDRESS(1,1,4, ,"Sheet 2")</t>
  </si>
  <si>
    <t>ADDRESS(ROW(),COLUMN())</t>
  </si>
  <si>
    <t>INDIRECT FUNCTION</t>
  </si>
  <si>
    <t>COLUMN 1</t>
  </si>
  <si>
    <t>COLUMN 2</t>
  </si>
  <si>
    <t>COLUMN 3</t>
  </si>
  <si>
    <t>INDIRECT("C3")</t>
  </si>
  <si>
    <t>INDIRECT("D"&amp;6)</t>
  </si>
  <si>
    <t>INDIRECT("E"&amp;ROW())</t>
  </si>
  <si>
    <t>SUM(INDIRECT("C6:E6"))</t>
  </si>
  <si>
    <t>OFFSET FUNCTION</t>
  </si>
  <si>
    <t>Day</t>
  </si>
  <si>
    <t>Week 1</t>
  </si>
  <si>
    <t>Week 2</t>
  </si>
  <si>
    <t>Week 3</t>
  </si>
  <si>
    <t>Week 4</t>
  </si>
  <si>
    <t>Sunday</t>
  </si>
  <si>
    <t>Monday</t>
  </si>
  <si>
    <t>Tuesday</t>
  </si>
  <si>
    <t>Wednesday</t>
  </si>
  <si>
    <t>Thursday</t>
  </si>
  <si>
    <t>Friday</t>
  </si>
  <si>
    <t>Saturday</t>
  </si>
  <si>
    <t>OUTPUT 1</t>
  </si>
  <si>
    <t>OUTPUT 2</t>
  </si>
  <si>
    <t>OUTPUT 3</t>
  </si>
  <si>
    <t>OUTPUT 4</t>
  </si>
  <si>
    <t xml:space="preserve">ROWS FUNCTION </t>
  </si>
  <si>
    <t>ROWS(B1)</t>
  </si>
  <si>
    <t>ROWS(B1:E5)</t>
  </si>
  <si>
    <t>ROWS(B:B)</t>
  </si>
  <si>
    <t>COLUMNS FUNCTION</t>
  </si>
  <si>
    <t>COLUMNS(A1)</t>
  </si>
  <si>
    <t>COLUMNS(A1:D5)</t>
  </si>
  <si>
    <t>COLUMNS(1:1)</t>
  </si>
  <si>
    <t>AREAS FUNCTION</t>
  </si>
  <si>
    <t>AREAS(C1:E2)</t>
  </si>
  <si>
    <t>AREAS((C1:E2,B3:B5))</t>
  </si>
  <si>
    <t>AREAS((B2,C1:E3,D1:E5))</t>
  </si>
  <si>
    <t>TRANSPOSE FUNCTION</t>
  </si>
  <si>
    <t>COLUMNS</t>
  </si>
  <si>
    <t>A</t>
  </si>
  <si>
    <t>B</t>
  </si>
  <si>
    <t>C</t>
  </si>
  <si>
    <t>D</t>
  </si>
  <si>
    <t>E</t>
  </si>
  <si>
    <t>F</t>
  </si>
  <si>
    <t>COLUMN 4</t>
  </si>
  <si>
    <t>AA</t>
  </si>
  <si>
    <t>AB</t>
  </si>
  <si>
    <t>AC</t>
  </si>
  <si>
    <t>AD</t>
  </si>
  <si>
    <t>TRANSPOSE FUNCTION  EXAMPLE 2</t>
  </si>
  <si>
    <t xml:space="preserve">NUMBER , CURRENCY , ACCOUNTIING BY  TEXT  FUNCTION </t>
  </si>
  <si>
    <t>Formula</t>
  </si>
  <si>
    <t>Result</t>
  </si>
  <si>
    <t>=TEXT(A2,"0.00")</t>
  </si>
  <si>
    <t>=TEXT(A3,"#,##0")</t>
  </si>
  <si>
    <t>=TEXT(A4,"#,##0.00")</t>
  </si>
  <si>
    <t>=TEXT(A5,"$#,##0")</t>
  </si>
  <si>
    <t>=TEXT(A6,"$#,##0.00")</t>
  </si>
  <si>
    <t>=TEXT(A7,"$#,##0.00_);($#,##0.00)")</t>
  </si>
  <si>
    <t>=TEXT(A8,"$ * #,##0")</t>
  </si>
  <si>
    <t>=TEXT(A9,"$ * #,##0.00")</t>
  </si>
  <si>
    <t>THOUSAND SEPERATOR BY TEXT FUNCTION</t>
  </si>
  <si>
    <t>=TEXT(A11,"#,###")</t>
  </si>
  <si>
    <t>=TEXT(A12,"0,000.00")</t>
  </si>
  <si>
    <t>=TEXT(A13,"#," )</t>
  </si>
  <si>
    <t>=TEXT(A14,"#,###.0,")</t>
  </si>
  <si>
    <t>=TEXT(A15,"0.0,,")</t>
  </si>
  <si>
    <t>MONTHS,DAYS,YEARS BY TEXT FUNCTION</t>
  </si>
  <si>
    <t>1–12</t>
  </si>
  <si>
    <t>=TEXT(G15,"m")</t>
  </si>
  <si>
    <t>01–12</t>
  </si>
  <si>
    <t>=TEXT(G15,"mm")</t>
  </si>
  <si>
    <t>Jan–Dec</t>
  </si>
  <si>
    <t>=TEXT(G15,"mmm")</t>
  </si>
  <si>
    <t>January–Dec</t>
  </si>
  <si>
    <t>=TEXT(G15,"mmmm")</t>
  </si>
  <si>
    <t>J–D</t>
  </si>
  <si>
    <t>=TEXT(G15,"mmmmm")</t>
  </si>
  <si>
    <t>1–31</t>
  </si>
  <si>
    <t>=TEXT(G15,"d")</t>
  </si>
  <si>
    <t>01–31</t>
  </si>
  <si>
    <t>=TEXT(G15,"dd")</t>
  </si>
  <si>
    <t>Sun–Sat</t>
  </si>
  <si>
    <t>=TEXT(G15,"ddd")</t>
  </si>
  <si>
    <t>Sunday–Sat</t>
  </si>
  <si>
    <t>=TEXT(G15,"dddd")</t>
  </si>
  <si>
    <t>00–99</t>
  </si>
  <si>
    <t>=TEXT(G15,"yy")</t>
  </si>
  <si>
    <t>1900–9999</t>
  </si>
  <si>
    <t>=TEXT(G15,"yyyy")</t>
  </si>
  <si>
    <t>Current Date</t>
  </si>
  <si>
    <t>="Date: " &amp; TEXT(G19,"mm/dd/yyyy")</t>
  </si>
  <si>
    <t xml:space="preserve"> Current Date/Time</t>
  </si>
  <si>
    <t>="Date-Time: " &amp; TEXT(G19,"m/d/yyyy h:mm AM/PM")</t>
  </si>
  <si>
    <t>Date Today():</t>
  </si>
  <si>
    <t>Date Now():</t>
  </si>
  <si>
    <t>CONCATENATE FUNCTION</t>
  </si>
  <si>
    <t>DNS</t>
  </si>
  <si>
    <t xml:space="preserve">Resquest URL </t>
  </si>
  <si>
    <t>Formula 1</t>
  </si>
  <si>
    <t xml:space="preserve">Formula 2 </t>
  </si>
  <si>
    <t>Formula 3</t>
  </si>
  <si>
    <t>www.Facebook.com</t>
  </si>
  <si>
    <t>/Home</t>
  </si>
  <si>
    <t>www.Gmail.com</t>
  </si>
  <si>
    <t>/Profile</t>
  </si>
  <si>
    <t>www.Youtube.com</t>
  </si>
  <si>
    <t>/Adhome</t>
  </si>
  <si>
    <t xml:space="preserve">LEN fUNCTION </t>
  </si>
  <si>
    <t>Product SKU</t>
  </si>
  <si>
    <t>390841873109-6789657986789867</t>
  </si>
  <si>
    <t>COUNTA FUNCTION</t>
  </si>
  <si>
    <t xml:space="preserve">Product </t>
  </si>
  <si>
    <t>Price</t>
  </si>
  <si>
    <t>Widget1</t>
  </si>
  <si>
    <t>Widget2</t>
  </si>
  <si>
    <t>Widget3</t>
  </si>
  <si>
    <t>Widget4</t>
  </si>
  <si>
    <t>DAYS FUNCTION</t>
  </si>
  <si>
    <t xml:space="preserve">Contract </t>
  </si>
  <si>
    <t>Start-Date</t>
  </si>
  <si>
    <t>End-Date</t>
  </si>
  <si>
    <t>Revenue</t>
  </si>
  <si>
    <t>Contract Days()</t>
  </si>
  <si>
    <t>Contract Days360()</t>
  </si>
  <si>
    <t>Wrorking Days</t>
  </si>
  <si>
    <t>SUMIFS FUNCTION</t>
  </si>
  <si>
    <t>Product</t>
  </si>
  <si>
    <t>Total Revenue</t>
  </si>
  <si>
    <t>AVERAGEIFS FUNCTION</t>
  </si>
  <si>
    <t>Quantity</t>
  </si>
  <si>
    <t>Avg Units Per Transaction</t>
  </si>
  <si>
    <t xml:space="preserve">VLOOKUP FUNCTION </t>
  </si>
  <si>
    <t xml:space="preserve">FIND / SEARCH FUNCTION </t>
  </si>
  <si>
    <t>Find Big</t>
  </si>
  <si>
    <t>Search Small</t>
  </si>
  <si>
    <t>Big Widget1</t>
  </si>
  <si>
    <t>big Widget2</t>
  </si>
  <si>
    <t>Small Widget1</t>
  </si>
  <si>
    <t>Big Widget3</t>
  </si>
  <si>
    <t>small Widget3</t>
  </si>
  <si>
    <t>Big Widget4</t>
  </si>
  <si>
    <t xml:space="preserve"> Big Widget2</t>
  </si>
  <si>
    <t>small Widget2</t>
  </si>
  <si>
    <t>big Widget4</t>
  </si>
  <si>
    <t>Small Widget4</t>
  </si>
  <si>
    <t>COUNTIFS FUNCTION</t>
  </si>
  <si>
    <t>Unit Sold</t>
  </si>
  <si>
    <t>big Widget3</t>
  </si>
  <si>
    <t>Big widget4</t>
  </si>
  <si>
    <t>LEFT / RIGHT FUNCTION</t>
  </si>
  <si>
    <t>Consumer Number</t>
  </si>
  <si>
    <t>Assigned Area Code</t>
  </si>
  <si>
    <t>Customer Last 4 Digits</t>
  </si>
  <si>
    <t>999-555-5555</t>
  </si>
  <si>
    <t>123-444-8678</t>
  </si>
  <si>
    <t>345-675-7654</t>
  </si>
  <si>
    <t>145-342-6754</t>
  </si>
  <si>
    <t>RANK FUNCTION</t>
  </si>
  <si>
    <t>Client</t>
  </si>
  <si>
    <t>December Orders</t>
  </si>
  <si>
    <t>Bob's Hardware</t>
  </si>
  <si>
    <t>Intech</t>
  </si>
  <si>
    <t>SilverSpoon</t>
  </si>
  <si>
    <t>Quabadie</t>
  </si>
  <si>
    <t>North Carolina</t>
  </si>
  <si>
    <t>Hyams</t>
  </si>
  <si>
    <t>MIN FUNCTION</t>
  </si>
  <si>
    <t>Minimum</t>
  </si>
  <si>
    <t>MAX FUNCTION</t>
  </si>
  <si>
    <t>Maximum</t>
  </si>
  <si>
    <t>SUMPRODUCT FUNCTION</t>
  </si>
  <si>
    <t>Average Selling Price</t>
  </si>
  <si>
    <t>DATEDIF FUNCTION</t>
  </si>
  <si>
    <t>Status</t>
  </si>
  <si>
    <t xml:space="preserve">Formula </t>
  </si>
  <si>
    <t>Brithdate</t>
  </si>
  <si>
    <t>Years</t>
  </si>
  <si>
    <t>DATEDIF($D$2,TODAY(),"y")</t>
  </si>
  <si>
    <t>Months</t>
  </si>
  <si>
    <t>DATEDIF($D$2,TODAY(),"ym")</t>
  </si>
  <si>
    <t>Days</t>
  </si>
  <si>
    <t>DATEDIF($D$2,TODAY(),"md")</t>
  </si>
  <si>
    <t>Age</t>
  </si>
  <si>
    <t>CONCATENATE("Age is  " , E4,"Years" , E5," Months",E6, "Days")</t>
  </si>
  <si>
    <t>DATEVALUE FUNCTION</t>
  </si>
  <si>
    <t>DateValue</t>
  </si>
  <si>
    <r>
      <rPr>
        <b/>
        <sz val="11"/>
        <color rgb="FF000000"/>
        <rFont val="Aptos Narrow"/>
        <scheme val="minor"/>
      </rPr>
      <t>Formula</t>
    </r>
    <r>
      <rPr>
        <sz val="11"/>
        <color rgb="FF000000"/>
        <rFont val="Aptos Narrow"/>
        <scheme val="minor"/>
      </rPr>
      <t xml:space="preserve"> </t>
    </r>
  </si>
  <si>
    <t>"8/22/2015"</t>
  </si>
  <si>
    <t>DATEVALUE(C2)</t>
  </si>
  <si>
    <t>"12/25/2015"</t>
  </si>
  <si>
    <t>DATEVALUE(C3)</t>
  </si>
  <si>
    <t>DATEVALUE(C4)</t>
  </si>
  <si>
    <t>DAY FUNCTION</t>
  </si>
  <si>
    <t>DAY(C2)</t>
  </si>
  <si>
    <t>DAY(C3)</t>
  </si>
  <si>
    <t>DAY(C4)</t>
  </si>
  <si>
    <t>DAYS360 FUNCTION</t>
  </si>
  <si>
    <t>Start Date</t>
  </si>
  <si>
    <t>End Date</t>
  </si>
  <si>
    <t>Formula 2</t>
  </si>
  <si>
    <t>EDATE FUNCTION</t>
  </si>
  <si>
    <t>EOMONTH FUNCTION</t>
  </si>
  <si>
    <t>HOUR FUNCTION</t>
  </si>
  <si>
    <t>Number</t>
  </si>
  <si>
    <t>MINUTE FUNCTION</t>
  </si>
  <si>
    <t>MONTH FUNCTION</t>
  </si>
  <si>
    <t>NETWORKDAYS FUNCTION</t>
  </si>
  <si>
    <t>14/15/2015</t>
  </si>
  <si>
    <t>NETWORKDAYS.INTL FUNCTION</t>
  </si>
  <si>
    <t>Weekends</t>
  </si>
  <si>
    <t>Holidays</t>
  </si>
  <si>
    <t>No. Of. WorkDays</t>
  </si>
  <si>
    <t>SECOND FUNCTION</t>
  </si>
  <si>
    <t>TIME FUNCTION</t>
  </si>
  <si>
    <t>Hour</t>
  </si>
  <si>
    <t>Minute</t>
  </si>
  <si>
    <t>Second</t>
  </si>
  <si>
    <t>Five</t>
  </si>
  <si>
    <t>TIMEVALUE FUNCTION</t>
  </si>
  <si>
    <t>Time</t>
  </si>
  <si>
    <t>WEEKDAY FUNCTION</t>
  </si>
  <si>
    <t>WEEKNUM FUNCTION</t>
  </si>
  <si>
    <t>Return Type</t>
  </si>
  <si>
    <t>WORKDAY FUNCTION</t>
  </si>
  <si>
    <t>WORKDAY.INTL FUNCTION</t>
  </si>
  <si>
    <t>No.Of Work Days</t>
  </si>
  <si>
    <t>YEAR FUNCTION</t>
  </si>
  <si>
    <t>YEARFRAC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</si>
</sst>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mm/dd/yy;@"/>
    <numFmt numFmtId="166" formatCode="m/d/yyyy;@"/>
    <numFmt numFmtId="167" formatCode="[$-409]d\-mmm\-yy;@"/>
    <numFmt numFmtId="169" formatCode="[$-F400]h:mm:ss\ AM/PM"/>
    <numFmt numFmtId="173" formatCode="0.00000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charset val="1"/>
    </font>
    <font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4" fontId="0" fillId="0" borderId="1" xfId="0" applyNumberFormat="1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8" fontId="1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3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wrapText="1"/>
    </xf>
    <xf numFmtId="0" fontId="3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3" fillId="0" borderId="1" xfId="0" applyFont="1" applyBorder="1" applyAlignment="1">
      <alignment horizontal="center" wrapText="1"/>
    </xf>
    <xf numFmtId="0" fontId="0" fillId="0" borderId="1" xfId="0" quotePrefix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/>
    </xf>
    <xf numFmtId="22" fontId="1" fillId="0" borderId="1" xfId="0" applyNumberFormat="1" applyFont="1" applyBorder="1" applyAlignment="1">
      <alignment horizontal="center"/>
    </xf>
    <xf numFmtId="0" fontId="7" fillId="0" borderId="1" xfId="1" applyBorder="1" applyAlignment="1">
      <alignment horizontal="center"/>
    </xf>
    <xf numFmtId="0" fontId="3" fillId="0" borderId="0" xfId="0" applyFont="1"/>
    <xf numFmtId="0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8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8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8" fontId="0" fillId="0" borderId="6" xfId="0" applyNumberForma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7" xfId="0" applyBorder="1" applyAlignment="1">
      <alignment horizontal="center"/>
    </xf>
    <xf numFmtId="8" fontId="0" fillId="0" borderId="7" xfId="0" applyNumberFormat="1" applyBorder="1" applyAlignment="1">
      <alignment horizontal="center"/>
    </xf>
    <xf numFmtId="8" fontId="1" fillId="0" borderId="1" xfId="0" applyNumberFormat="1" applyFont="1" applyBorder="1" applyAlignment="1">
      <alignment horizontal="center"/>
    </xf>
    <xf numFmtId="8" fontId="0" fillId="0" borderId="8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167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9" fontId="0" fillId="0" borderId="1" xfId="0" applyNumberFormat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21" fontId="0" fillId="0" borderId="1" xfId="0" applyNumberFormat="1" applyBorder="1" applyAlignment="1">
      <alignment horizontal="center"/>
    </xf>
    <xf numFmtId="173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" TargetMode="External"/><Relationship Id="rId2" Type="http://schemas.openxmlformats.org/officeDocument/2006/relationships/hyperlink" Target="https://www.Gmail.com" TargetMode="External"/><Relationship Id="rId1" Type="http://schemas.openxmlformats.org/officeDocument/2006/relationships/hyperlink" Target="https://www.Faceb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5"/>
  <sheetViews>
    <sheetView tabSelected="1" topLeftCell="A15" workbookViewId="0">
      <selection activeCell="B23" sqref="B23"/>
    </sheetView>
  </sheetViews>
  <sheetFormatPr defaultRowHeight="15"/>
  <cols>
    <col min="1" max="1" width="31.85546875" bestFit="1" customWidth="1"/>
    <col min="2" max="2" width="38" customWidth="1"/>
    <col min="3" max="3" width="31.85546875" bestFit="1" customWidth="1"/>
    <col min="4" max="4" width="22.85546875" customWidth="1"/>
    <col min="5" max="5" width="28.28515625" customWidth="1"/>
    <col min="6" max="6" width="24.5703125" customWidth="1"/>
    <col min="7" max="7" width="13.140625" bestFit="1" customWidth="1"/>
    <col min="8" max="8" width="10.85546875" bestFit="1" customWidth="1"/>
    <col min="9" max="9" width="9.7109375" bestFit="1" customWidth="1"/>
    <col min="16" max="16" width="16.42578125" customWidth="1"/>
    <col min="17" max="17" width="17.7109375" customWidth="1"/>
    <col min="18" max="19" width="10.7109375" customWidth="1"/>
  </cols>
  <sheetData>
    <row r="1" spans="1:18">
      <c r="A1" s="2"/>
      <c r="B1" s="2"/>
      <c r="C1" s="9" t="s">
        <v>0</v>
      </c>
      <c r="D1" s="2"/>
      <c r="E1" s="2"/>
      <c r="F1" s="2"/>
      <c r="G1" s="2"/>
      <c r="H1" s="2"/>
      <c r="P1" s="2"/>
      <c r="Q1" s="14" t="s">
        <v>1</v>
      </c>
      <c r="R1" s="2"/>
    </row>
    <row r="2" spans="1:18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P2" s="2" t="s">
        <v>10</v>
      </c>
      <c r="Q2" s="2" t="s">
        <v>11</v>
      </c>
      <c r="R2" s="2" t="s">
        <v>12</v>
      </c>
    </row>
    <row r="3" spans="1:18">
      <c r="A3" s="5">
        <v>154</v>
      </c>
      <c r="B3" s="5" t="s">
        <v>13</v>
      </c>
      <c r="C3" s="5" t="s">
        <v>14</v>
      </c>
      <c r="D3" s="5">
        <v>26</v>
      </c>
      <c r="E3" s="6">
        <v>42900</v>
      </c>
      <c r="F3" s="7">
        <v>0.15</v>
      </c>
      <c r="G3" s="5">
        <v>100</v>
      </c>
      <c r="H3" s="7">
        <v>0.08</v>
      </c>
      <c r="P3" s="2" t="s">
        <v>15</v>
      </c>
      <c r="Q3" s="2">
        <v>53</v>
      </c>
      <c r="R3" s="2">
        <v>555.73</v>
      </c>
    </row>
    <row r="4" spans="1:18">
      <c r="A4" s="5">
        <v>260</v>
      </c>
      <c r="B4" s="5" t="s">
        <v>16</v>
      </c>
      <c r="C4" s="5" t="s">
        <v>17</v>
      </c>
      <c r="D4" s="5">
        <v>26</v>
      </c>
      <c r="E4" s="6">
        <v>64600</v>
      </c>
      <c r="F4" s="7">
        <v>0.16</v>
      </c>
      <c r="G4" s="5">
        <v>200</v>
      </c>
      <c r="H4" s="7">
        <v>7.0000000000000007E-2</v>
      </c>
      <c r="P4" s="2" t="s">
        <v>18</v>
      </c>
      <c r="Q4" s="2">
        <v>160</v>
      </c>
      <c r="R4" s="2">
        <v>940.56</v>
      </c>
    </row>
    <row r="5" spans="1:18">
      <c r="A5" s="5">
        <v>319</v>
      </c>
      <c r="B5" s="5" t="s">
        <v>19</v>
      </c>
      <c r="C5" s="5" t="s">
        <v>20</v>
      </c>
      <c r="D5" s="5">
        <v>52</v>
      </c>
      <c r="E5" s="6">
        <v>72300</v>
      </c>
      <c r="F5" s="7">
        <v>0.24</v>
      </c>
      <c r="G5" s="5">
        <v>300</v>
      </c>
      <c r="H5" s="7">
        <v>0.03</v>
      </c>
      <c r="P5" s="2" t="s">
        <v>21</v>
      </c>
      <c r="Q5" s="2">
        <v>40</v>
      </c>
      <c r="R5" s="4">
        <v>3026.1</v>
      </c>
    </row>
    <row r="6" spans="1:18">
      <c r="A6" s="5">
        <v>331</v>
      </c>
      <c r="B6" s="5" t="s">
        <v>22</v>
      </c>
      <c r="C6" s="5" t="s">
        <v>23</v>
      </c>
      <c r="D6" s="5">
        <v>12</v>
      </c>
      <c r="E6" s="6">
        <v>99700</v>
      </c>
      <c r="F6" s="7">
        <v>0.2</v>
      </c>
      <c r="G6" s="5">
        <v>300</v>
      </c>
      <c r="H6" s="7">
        <v>0.05</v>
      </c>
      <c r="P6" s="2" t="s">
        <v>24</v>
      </c>
      <c r="Q6" s="2">
        <v>146</v>
      </c>
      <c r="R6" s="4">
        <v>4885.9399999999996</v>
      </c>
    </row>
    <row r="7" spans="1:18">
      <c r="A7" s="5">
        <v>428</v>
      </c>
      <c r="B7" s="5" t="s">
        <v>25</v>
      </c>
      <c r="C7" s="5" t="s">
        <v>26</v>
      </c>
      <c r="D7" s="5">
        <v>26</v>
      </c>
      <c r="E7" s="6">
        <v>57600</v>
      </c>
      <c r="F7" s="7">
        <v>0.25</v>
      </c>
      <c r="G7" s="5">
        <v>300</v>
      </c>
      <c r="H7" s="7">
        <v>0.05</v>
      </c>
      <c r="P7" s="2" t="s">
        <v>27</v>
      </c>
      <c r="Q7" s="2">
        <v>84</v>
      </c>
      <c r="R7" s="2">
        <v>969.46</v>
      </c>
    </row>
    <row r="8" spans="1:18">
      <c r="A8" s="5">
        <v>431</v>
      </c>
      <c r="B8" s="5" t="s">
        <v>28</v>
      </c>
      <c r="C8" s="5" t="s">
        <v>29</v>
      </c>
      <c r="D8" s="5">
        <v>12</v>
      </c>
      <c r="E8" s="6">
        <v>82800</v>
      </c>
      <c r="F8" s="7">
        <v>0.23</v>
      </c>
      <c r="G8" s="5">
        <v>100</v>
      </c>
      <c r="H8" s="7">
        <v>7.0000000000000007E-2</v>
      </c>
      <c r="P8" s="2" t="s">
        <v>30</v>
      </c>
      <c r="Q8" s="2">
        <v>97</v>
      </c>
      <c r="R8" s="4">
        <v>2979.33</v>
      </c>
    </row>
    <row r="9" spans="1:18">
      <c r="A9" s="5">
        <v>527</v>
      </c>
      <c r="B9" s="5" t="s">
        <v>31</v>
      </c>
      <c r="C9" s="5" t="s">
        <v>32</v>
      </c>
      <c r="D9" s="5">
        <v>12</v>
      </c>
      <c r="E9" s="6">
        <v>41700</v>
      </c>
      <c r="F9" s="7">
        <v>0.17</v>
      </c>
      <c r="G9" s="5">
        <v>200</v>
      </c>
      <c r="H9" s="7">
        <v>0.04</v>
      </c>
      <c r="P9" s="2" t="s">
        <v>33</v>
      </c>
      <c r="Q9" s="2">
        <v>200</v>
      </c>
      <c r="R9" s="4">
        <v>2950.74</v>
      </c>
    </row>
    <row r="10" spans="1:18">
      <c r="A10" s="5">
        <v>540</v>
      </c>
      <c r="B10" s="5" t="s">
        <v>34</v>
      </c>
      <c r="C10" s="5" t="s">
        <v>35</v>
      </c>
      <c r="D10" s="5">
        <v>52</v>
      </c>
      <c r="E10" s="6">
        <v>83100</v>
      </c>
      <c r="F10" s="7">
        <v>0.18</v>
      </c>
      <c r="G10" s="5">
        <v>100</v>
      </c>
      <c r="H10" s="7">
        <v>0.05</v>
      </c>
      <c r="P10" s="2" t="s">
        <v>36</v>
      </c>
      <c r="Q10" s="2">
        <v>40</v>
      </c>
      <c r="R10" s="4">
        <v>3970.5</v>
      </c>
    </row>
    <row r="11" spans="1:18">
      <c r="A11" s="5">
        <v>665</v>
      </c>
      <c r="B11" s="5" t="s">
        <v>37</v>
      </c>
      <c r="C11" s="5" t="s">
        <v>38</v>
      </c>
      <c r="D11" s="5">
        <v>26</v>
      </c>
      <c r="E11" s="6">
        <v>70400</v>
      </c>
      <c r="F11" s="7">
        <v>0.21</v>
      </c>
      <c r="G11" s="5">
        <v>200</v>
      </c>
      <c r="H11" s="7">
        <v>0.01</v>
      </c>
      <c r="P11" s="2" t="s">
        <v>39</v>
      </c>
      <c r="Q11" s="2">
        <v>155</v>
      </c>
      <c r="R11" s="4">
        <v>3332.94</v>
      </c>
    </row>
    <row r="12" spans="1:18">
      <c r="A12" s="5">
        <v>851</v>
      </c>
      <c r="B12" s="5" t="s">
        <v>40</v>
      </c>
      <c r="C12" s="5" t="s">
        <v>41</v>
      </c>
      <c r="D12" s="5">
        <v>52</v>
      </c>
      <c r="E12" s="6">
        <v>50200</v>
      </c>
      <c r="F12" s="7">
        <v>0.18</v>
      </c>
      <c r="G12" s="5">
        <v>200</v>
      </c>
      <c r="H12" s="7">
        <v>0.08</v>
      </c>
      <c r="P12" s="2" t="s">
        <v>42</v>
      </c>
      <c r="Q12" s="2">
        <v>75</v>
      </c>
      <c r="R12" s="4">
        <v>3326.98</v>
      </c>
    </row>
    <row r="13" spans="1:18">
      <c r="A13" s="1"/>
      <c r="B13" s="1"/>
      <c r="C13" s="1"/>
      <c r="D13" s="1"/>
      <c r="E13" s="1"/>
      <c r="F13" s="1"/>
      <c r="G13" s="1"/>
      <c r="H13" s="1"/>
      <c r="P13" s="3" t="s">
        <v>43</v>
      </c>
      <c r="Q13" s="3" t="s">
        <v>44</v>
      </c>
      <c r="R13" s="2"/>
    </row>
    <row r="14" spans="1:18">
      <c r="A14" s="5" t="s">
        <v>45</v>
      </c>
      <c r="B14" s="5">
        <v>319</v>
      </c>
      <c r="C14" s="1"/>
      <c r="D14" s="1"/>
      <c r="E14" s="1"/>
      <c r="F14" s="1"/>
      <c r="G14" s="1"/>
      <c r="H14" s="1"/>
      <c r="P14" s="3" t="s">
        <v>42</v>
      </c>
      <c r="Q14" s="3">
        <f>LOOKUP(9.99E+307,R:R)</f>
        <v>3326.98</v>
      </c>
      <c r="R14" s="2"/>
    </row>
    <row r="15" spans="1:18">
      <c r="A15" s="5" t="s">
        <v>3</v>
      </c>
      <c r="B15" s="3" t="str">
        <f>VLOOKUP($B$14,$A$3:$H$12,2,FALSE)</f>
        <v>Elizabeth Marshall</v>
      </c>
      <c r="C15" s="1"/>
      <c r="D15" s="1"/>
      <c r="E15" s="1"/>
      <c r="F15" s="1"/>
      <c r="G15" s="1"/>
      <c r="H15" s="1"/>
      <c r="P15" s="2"/>
      <c r="Q15" s="2"/>
      <c r="R15" s="2"/>
    </row>
    <row r="16" spans="1:18">
      <c r="A16" s="5" t="s">
        <v>46</v>
      </c>
      <c r="B16" s="2">
        <v>164</v>
      </c>
      <c r="C16" s="1"/>
      <c r="D16" s="1"/>
      <c r="E16" s="1"/>
      <c r="F16" s="1"/>
      <c r="G16" s="1"/>
      <c r="H16" s="1"/>
    </row>
    <row r="17" spans="1:8">
      <c r="A17" s="5" t="s">
        <v>47</v>
      </c>
      <c r="B17" s="10">
        <v>796.99</v>
      </c>
      <c r="C17" s="1"/>
      <c r="D17" s="1"/>
      <c r="E17" s="1"/>
      <c r="F17" s="1"/>
      <c r="G17" s="1"/>
      <c r="H17" s="1"/>
    </row>
    <row r="18" spans="1:8">
      <c r="A18" s="5" t="s">
        <v>48</v>
      </c>
      <c r="B18" s="2" t="s">
        <v>49</v>
      </c>
      <c r="C18" s="1"/>
      <c r="D18" s="1"/>
      <c r="E18" s="1"/>
      <c r="F18" s="1"/>
      <c r="G18" s="1"/>
      <c r="H18" s="1"/>
    </row>
    <row r="19" spans="1:8">
      <c r="A19" s="5" t="s">
        <v>50</v>
      </c>
      <c r="B19" s="11">
        <f>VLOOKUP($B$14,$A$3:$H$12,5,FALSE)/VLOOKUP($B$14,$A$3:$H$12,4,FALSE)</f>
        <v>1390.3846153846155</v>
      </c>
      <c r="C19" s="1"/>
      <c r="D19" s="1"/>
      <c r="E19" s="1"/>
      <c r="F19" s="1"/>
      <c r="G19" s="1"/>
      <c r="H19" s="1"/>
    </row>
    <row r="20" spans="1:8">
      <c r="A20" s="5" t="s">
        <v>51</v>
      </c>
      <c r="B20" s="13">
        <f>(B19-B21-B22)*VLOOKUP($B$14,$A$3:$H$12,6,FALSE)</f>
        <v>251.68153846153845</v>
      </c>
      <c r="C20" s="1"/>
      <c r="D20" s="1"/>
      <c r="E20" s="1"/>
      <c r="F20" s="1"/>
      <c r="G20" s="1"/>
      <c r="H20" s="1"/>
    </row>
    <row r="21" spans="1:8">
      <c r="A21" s="5" t="s">
        <v>8</v>
      </c>
      <c r="B21" s="12">
        <f>VLOOKUP($B$14,$A$3:$H$12,7,FALSE)</f>
        <v>300</v>
      </c>
      <c r="C21" s="1"/>
      <c r="D21" s="1"/>
      <c r="E21" s="1"/>
      <c r="F21" s="1"/>
      <c r="G21" s="1"/>
      <c r="H21" s="1"/>
    </row>
    <row r="22" spans="1:8">
      <c r="A22" s="5" t="s">
        <v>52</v>
      </c>
      <c r="B22" s="12">
        <f>B19*VLOOKUP($B$14,$A$3:$H$12,8,FALSE)</f>
        <v>41.71153846153846</v>
      </c>
      <c r="C22" s="1"/>
      <c r="D22" s="1"/>
      <c r="E22" s="1"/>
      <c r="F22" s="1"/>
      <c r="G22" s="1"/>
      <c r="H22" s="1"/>
    </row>
    <row r="23" spans="1:8">
      <c r="A23" s="5" t="s">
        <v>53</v>
      </c>
      <c r="B23" s="11">
        <f>SUM(B20:B22)</f>
        <v>593.39307692307693</v>
      </c>
      <c r="C23" s="1"/>
      <c r="D23" s="1"/>
      <c r="E23" s="1"/>
      <c r="F23" s="1"/>
      <c r="G23" s="1"/>
      <c r="H23" s="1"/>
    </row>
    <row r="24" spans="1:8" ht="31.5" customHeight="1">
      <c r="A24" s="8"/>
    </row>
    <row r="25" spans="1:8">
      <c r="A25" s="2" t="s">
        <v>54</v>
      </c>
      <c r="B25" s="2" t="s">
        <v>55</v>
      </c>
      <c r="C25" s="2" t="s">
        <v>56</v>
      </c>
      <c r="D25" s="2"/>
      <c r="E25" s="2"/>
      <c r="F25" s="1"/>
    </row>
    <row r="26" spans="1:8">
      <c r="A26" s="2" t="s">
        <v>57</v>
      </c>
      <c r="B26" s="2" t="s">
        <v>58</v>
      </c>
      <c r="C26" s="2">
        <v>6493</v>
      </c>
      <c r="D26" s="2"/>
      <c r="E26" s="2"/>
      <c r="F26" s="1"/>
    </row>
    <row r="27" spans="1:8">
      <c r="A27" s="2" t="s">
        <v>59</v>
      </c>
      <c r="B27" s="2" t="s">
        <v>60</v>
      </c>
      <c r="C27" s="2">
        <v>4369</v>
      </c>
      <c r="D27" s="3" t="s">
        <v>55</v>
      </c>
      <c r="E27" s="3" t="s">
        <v>61</v>
      </c>
      <c r="F27" s="1"/>
    </row>
    <row r="28" spans="1:8">
      <c r="A28" s="2" t="s">
        <v>62</v>
      </c>
      <c r="B28" s="2" t="s">
        <v>22</v>
      </c>
      <c r="C28" s="2">
        <v>4505</v>
      </c>
      <c r="D28" s="3" t="s">
        <v>54</v>
      </c>
      <c r="E28" s="3" t="str">
        <f>INDEX(A26:C33,MATCH(E27,B26:B33,0),1)</f>
        <v>Manchester</v>
      </c>
      <c r="F28" s="1"/>
    </row>
    <row r="29" spans="1:8">
      <c r="A29" s="2" t="s">
        <v>63</v>
      </c>
      <c r="B29" s="2" t="s">
        <v>64</v>
      </c>
      <c r="C29" s="2">
        <v>8745</v>
      </c>
      <c r="D29" s="3" t="s">
        <v>56</v>
      </c>
      <c r="E29" s="3">
        <f>INDEX(A26:C33,MATCH(E27,B26:B33,0),3)</f>
        <v>2608</v>
      </c>
      <c r="F29" s="1"/>
    </row>
    <row r="30" spans="1:8">
      <c r="A30" s="2" t="s">
        <v>65</v>
      </c>
      <c r="B30" s="2" t="s">
        <v>66</v>
      </c>
      <c r="C30" s="2">
        <v>6273</v>
      </c>
      <c r="D30" s="3"/>
      <c r="E30" s="3"/>
      <c r="F30" s="1"/>
    </row>
    <row r="31" spans="1:8">
      <c r="A31" s="2" t="s">
        <v>67</v>
      </c>
      <c r="B31" s="2" t="s">
        <v>61</v>
      </c>
      <c r="C31" s="2">
        <v>2608</v>
      </c>
      <c r="D31" s="3" t="s">
        <v>68</v>
      </c>
      <c r="E31" s="3" t="str">
        <f>LOOKUP(E27,B26:B33,A26:A33)</f>
        <v>Manchester</v>
      </c>
      <c r="F31" s="1"/>
    </row>
    <row r="32" spans="1:8">
      <c r="A32" s="2" t="s">
        <v>69</v>
      </c>
      <c r="B32" s="2" t="s">
        <v>70</v>
      </c>
      <c r="C32" s="2">
        <v>3335</v>
      </c>
      <c r="D32" s="3" t="s">
        <v>71</v>
      </c>
      <c r="E32" s="3">
        <f>LOOKUP(E27,B26:B33,C26:C33)</f>
        <v>2608</v>
      </c>
      <c r="F32" s="1"/>
    </row>
    <row r="33" spans="1:11">
      <c r="A33" s="2" t="s">
        <v>72</v>
      </c>
      <c r="B33" s="2" t="s">
        <v>73</v>
      </c>
      <c r="C33" s="2">
        <v>3972</v>
      </c>
      <c r="D33" s="2"/>
      <c r="E33" s="2"/>
      <c r="F33" s="1"/>
    </row>
    <row r="34" spans="1:11" ht="36" customHeight="1"/>
    <row r="35" spans="1:11" ht="15" customHeight="1">
      <c r="A35" s="2"/>
      <c r="B35" s="2"/>
      <c r="C35" s="14" t="s">
        <v>74</v>
      </c>
      <c r="D35" s="2"/>
      <c r="E35" s="2"/>
      <c r="F35" s="2"/>
      <c r="G35" s="2"/>
      <c r="H35" s="2"/>
      <c r="I35" s="2"/>
      <c r="J35" s="2"/>
      <c r="K35" s="2"/>
    </row>
    <row r="36" spans="1:11">
      <c r="A36" s="2" t="s">
        <v>54</v>
      </c>
      <c r="B36" s="2" t="s">
        <v>75</v>
      </c>
      <c r="C36" s="2" t="s">
        <v>76</v>
      </c>
      <c r="D36" s="2" t="s">
        <v>77</v>
      </c>
      <c r="E36" s="2" t="s">
        <v>78</v>
      </c>
      <c r="F36" s="2" t="s">
        <v>79</v>
      </c>
      <c r="G36" s="2" t="s">
        <v>80</v>
      </c>
      <c r="H36" s="2" t="s">
        <v>81</v>
      </c>
      <c r="I36" s="2" t="s">
        <v>82</v>
      </c>
      <c r="J36" s="2" t="s">
        <v>83</v>
      </c>
      <c r="K36" s="2" t="s">
        <v>84</v>
      </c>
    </row>
    <row r="37" spans="1:11">
      <c r="A37" s="2" t="s">
        <v>85</v>
      </c>
      <c r="B37" s="2">
        <v>50</v>
      </c>
      <c r="C37" s="2">
        <v>73</v>
      </c>
      <c r="D37" s="2">
        <v>48</v>
      </c>
      <c r="E37" s="2">
        <v>55</v>
      </c>
      <c r="F37" s="2">
        <v>48</v>
      </c>
      <c r="G37" s="2">
        <v>73</v>
      </c>
      <c r="H37" s="2">
        <v>82</v>
      </c>
      <c r="I37" s="2">
        <v>12</v>
      </c>
      <c r="J37" s="2">
        <v>41</v>
      </c>
      <c r="K37" s="2">
        <v>39</v>
      </c>
    </row>
    <row r="38" spans="1:11">
      <c r="A38" s="3" t="s">
        <v>86</v>
      </c>
      <c r="B38" s="3" t="s">
        <v>78</v>
      </c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3" t="s">
        <v>87</v>
      </c>
      <c r="B39" s="3">
        <f>HLOOKUP(B38,A36:K37,2,FALSE)</f>
        <v>55</v>
      </c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3" t="s">
        <v>88</v>
      </c>
      <c r="B40" s="15">
        <f>INDEX(A36:K37,2,MATCH(B38,A36:K36,0))</f>
        <v>55</v>
      </c>
      <c r="C40" s="2"/>
      <c r="D40" s="2"/>
      <c r="E40" s="2"/>
      <c r="F40" s="2"/>
      <c r="G40" s="2"/>
      <c r="H40" s="2"/>
      <c r="I40" s="2"/>
      <c r="J40" s="2"/>
      <c r="K40" s="2"/>
    </row>
    <row r="41" spans="1:11" ht="30.75" customHeight="1"/>
    <row r="42" spans="1:11">
      <c r="A42" s="2"/>
      <c r="B42" s="2"/>
      <c r="C42" s="14" t="s">
        <v>89</v>
      </c>
      <c r="D42" s="2"/>
      <c r="E42" s="2"/>
    </row>
    <row r="43" spans="1:11">
      <c r="A43" s="5" t="s">
        <v>90</v>
      </c>
      <c r="B43" s="5" t="s">
        <v>91</v>
      </c>
      <c r="C43" s="14" t="s">
        <v>6</v>
      </c>
      <c r="D43" s="5" t="s">
        <v>92</v>
      </c>
      <c r="E43" s="5" t="s">
        <v>93</v>
      </c>
    </row>
    <row r="44" spans="1:11">
      <c r="A44" s="2" t="s">
        <v>94</v>
      </c>
      <c r="B44" s="2" t="s">
        <v>95</v>
      </c>
      <c r="C44" s="2" t="str">
        <f>IFERROR(VLOOKUP(B44,$D$44:$E$52,2,FALSE),"")</f>
        <v/>
      </c>
      <c r="D44" s="2" t="s">
        <v>96</v>
      </c>
      <c r="E44" s="16">
        <v>33247178</v>
      </c>
    </row>
    <row r="45" spans="1:11">
      <c r="A45" s="2" t="s">
        <v>97</v>
      </c>
      <c r="B45" s="2" t="s">
        <v>98</v>
      </c>
      <c r="C45" s="2">
        <f t="shared" ref="C45:C52" si="0">IFERROR(VLOOKUP(B45,$D$44:$E$52,2,FALSE),"")</f>
        <v>62157026</v>
      </c>
      <c r="D45" s="2" t="s">
        <v>99</v>
      </c>
      <c r="E45" s="16">
        <v>45302040</v>
      </c>
    </row>
    <row r="46" spans="1:11">
      <c r="A46" s="2" t="s">
        <v>100</v>
      </c>
      <c r="B46" s="2" t="s">
        <v>101</v>
      </c>
      <c r="C46" s="2" t="str">
        <f t="shared" si="0"/>
        <v/>
      </c>
      <c r="D46" s="2" t="s">
        <v>102</v>
      </c>
      <c r="E46" s="16">
        <v>51744999</v>
      </c>
    </row>
    <row r="47" spans="1:11">
      <c r="A47" s="2" t="s">
        <v>103</v>
      </c>
      <c r="B47" s="2" t="s">
        <v>104</v>
      </c>
      <c r="C47" s="2" t="str">
        <f t="shared" si="0"/>
        <v/>
      </c>
      <c r="D47" s="17" t="s">
        <v>98</v>
      </c>
      <c r="E47" s="16">
        <v>62157026</v>
      </c>
    </row>
    <row r="48" spans="1:11">
      <c r="A48" s="2" t="s">
        <v>105</v>
      </c>
      <c r="B48" s="2" t="s">
        <v>106</v>
      </c>
      <c r="C48" s="2" t="str">
        <f t="shared" si="0"/>
        <v/>
      </c>
      <c r="D48" s="2" t="s">
        <v>107</v>
      </c>
      <c r="E48" s="16">
        <v>68970486</v>
      </c>
    </row>
    <row r="49" spans="1:5">
      <c r="A49" s="2" t="s">
        <v>108</v>
      </c>
      <c r="B49" s="2" t="s">
        <v>109</v>
      </c>
      <c r="C49" s="2" t="str">
        <f t="shared" si="0"/>
        <v/>
      </c>
      <c r="D49" s="2" t="s">
        <v>110</v>
      </c>
      <c r="E49" s="16">
        <v>36615404</v>
      </c>
    </row>
    <row r="50" spans="1:5">
      <c r="A50" s="2" t="s">
        <v>111</v>
      </c>
      <c r="B50" s="2" t="s">
        <v>112</v>
      </c>
      <c r="C50" s="2">
        <f t="shared" si="0"/>
        <v>40266501</v>
      </c>
      <c r="D50" s="2" t="s">
        <v>113</v>
      </c>
      <c r="E50" s="16">
        <v>35212678</v>
      </c>
    </row>
    <row r="51" spans="1:5">
      <c r="A51" s="2" t="s">
        <v>114</v>
      </c>
      <c r="B51" s="2" t="s">
        <v>107</v>
      </c>
      <c r="C51" s="2">
        <f t="shared" si="0"/>
        <v>68970486</v>
      </c>
      <c r="D51" s="2" t="s">
        <v>112</v>
      </c>
      <c r="E51" s="16">
        <v>40266501</v>
      </c>
    </row>
    <row r="52" spans="1:5">
      <c r="A52" s="2" t="s">
        <v>115</v>
      </c>
      <c r="B52" s="2" t="s">
        <v>116</v>
      </c>
      <c r="C52" s="2" t="str">
        <f t="shared" si="0"/>
        <v/>
      </c>
      <c r="D52" s="2" t="s">
        <v>117</v>
      </c>
      <c r="E52" s="16">
        <v>36325782</v>
      </c>
    </row>
    <row r="53" spans="1:5" ht="29.25" customHeight="1"/>
    <row r="54" spans="1:5">
      <c r="A54" s="2"/>
      <c r="B54" s="14" t="s">
        <v>118</v>
      </c>
      <c r="C54" s="2"/>
      <c r="D54" s="2"/>
    </row>
    <row r="55" spans="1:5">
      <c r="A55" s="5" t="s">
        <v>119</v>
      </c>
      <c r="B55" s="5" t="s">
        <v>120</v>
      </c>
      <c r="C55" s="5" t="s">
        <v>121</v>
      </c>
      <c r="D55" s="5" t="s">
        <v>122</v>
      </c>
    </row>
    <row r="56" spans="1:5">
      <c r="A56" s="2" t="s">
        <v>123</v>
      </c>
      <c r="B56" s="18">
        <v>41870</v>
      </c>
      <c r="C56" s="3" t="s">
        <v>119</v>
      </c>
      <c r="D56" s="3" t="s">
        <v>124</v>
      </c>
    </row>
    <row r="57" spans="1:5">
      <c r="A57" s="2" t="s">
        <v>125</v>
      </c>
      <c r="B57" s="18">
        <v>41857</v>
      </c>
      <c r="C57" s="3" t="s">
        <v>126</v>
      </c>
      <c r="D57" s="19">
        <f>VLOOKUP(D56,A56:B65,2,FALSE)</f>
        <v>41857</v>
      </c>
    </row>
    <row r="58" spans="1:5">
      <c r="A58" s="2" t="s">
        <v>127</v>
      </c>
      <c r="B58" s="18">
        <v>41880</v>
      </c>
      <c r="C58" s="3" t="s">
        <v>128</v>
      </c>
      <c r="D58" s="19" cm="1">
        <f t="array" ref="D58">INDEX(B56:B65,SUMPRODUCT((EXACT(A56:A65,D56))*(ROW(A56:A65)-ROW(A56)+1)),1)</f>
        <v>41871</v>
      </c>
    </row>
    <row r="59" spans="1:5">
      <c r="A59" s="2" t="s">
        <v>129</v>
      </c>
      <c r="B59" s="18">
        <v>41875</v>
      </c>
      <c r="C59" s="2"/>
      <c r="D59" s="2"/>
    </row>
    <row r="60" spans="1:5">
      <c r="A60" s="2" t="s">
        <v>130</v>
      </c>
      <c r="B60" s="18">
        <v>41857</v>
      </c>
      <c r="C60" s="2"/>
      <c r="D60" s="2"/>
    </row>
    <row r="61" spans="1:5">
      <c r="A61" s="2" t="s">
        <v>131</v>
      </c>
      <c r="B61" s="18">
        <v>41863</v>
      </c>
      <c r="C61" s="2"/>
      <c r="D61" s="2"/>
    </row>
    <row r="62" spans="1:5">
      <c r="A62" s="2" t="s">
        <v>132</v>
      </c>
      <c r="B62" s="18">
        <v>41865</v>
      </c>
      <c r="C62" s="2"/>
      <c r="D62" s="2"/>
    </row>
    <row r="63" spans="1:5">
      <c r="A63" s="2" t="s">
        <v>133</v>
      </c>
      <c r="B63" s="18">
        <v>41855</v>
      </c>
      <c r="C63" s="2"/>
      <c r="D63" s="2"/>
    </row>
    <row r="64" spans="1:5">
      <c r="A64" s="5" t="s">
        <v>124</v>
      </c>
      <c r="B64" s="20">
        <v>41871</v>
      </c>
      <c r="C64" s="2"/>
      <c r="D64" s="2"/>
    </row>
    <row r="65" spans="1:5">
      <c r="A65" s="2" t="s">
        <v>134</v>
      </c>
      <c r="B65" s="18">
        <v>41876</v>
      </c>
      <c r="C65" s="2"/>
      <c r="D65" s="2"/>
    </row>
    <row r="66" spans="1:5" ht="30" customHeight="1"/>
    <row r="67" spans="1:5">
      <c r="A67" s="2"/>
      <c r="B67" s="14" t="s">
        <v>135</v>
      </c>
      <c r="C67" s="2"/>
      <c r="D67" s="1"/>
      <c r="E67" s="1"/>
    </row>
    <row r="68" spans="1:5">
      <c r="A68" s="3" t="s">
        <v>136</v>
      </c>
      <c r="B68" s="3" t="s">
        <v>137</v>
      </c>
      <c r="C68" s="3" t="s">
        <v>138</v>
      </c>
      <c r="D68" s="3" t="s">
        <v>139</v>
      </c>
      <c r="E68" s="1"/>
    </row>
    <row r="69" spans="1:5">
      <c r="A69" s="18">
        <v>41854</v>
      </c>
      <c r="B69" s="2">
        <v>421</v>
      </c>
      <c r="C69" s="2">
        <v>179.69</v>
      </c>
      <c r="D69" s="2" t="s">
        <v>140</v>
      </c>
      <c r="E69" s="1"/>
    </row>
    <row r="70" spans="1:5">
      <c r="A70" s="18">
        <v>41862</v>
      </c>
      <c r="B70" s="2">
        <v>352</v>
      </c>
      <c r="C70" s="2">
        <v>445.41</v>
      </c>
      <c r="D70" s="2" t="s">
        <v>141</v>
      </c>
      <c r="E70" s="1"/>
    </row>
    <row r="71" spans="1:5">
      <c r="A71" s="18">
        <v>41852</v>
      </c>
      <c r="B71" s="2">
        <v>512</v>
      </c>
      <c r="C71" s="2">
        <v>653.09</v>
      </c>
      <c r="D71" s="2" t="s">
        <v>142</v>
      </c>
      <c r="E71" s="1"/>
    </row>
    <row r="72" spans="1:5">
      <c r="A72" s="18">
        <v>41862</v>
      </c>
      <c r="B72" s="2">
        <v>666</v>
      </c>
      <c r="C72" s="2">
        <v>173.59</v>
      </c>
      <c r="D72" s="2"/>
      <c r="E72" s="1"/>
    </row>
    <row r="73" spans="1:5">
      <c r="A73" s="18">
        <v>41853</v>
      </c>
      <c r="B73" s="2">
        <v>759</v>
      </c>
      <c r="C73" s="2">
        <v>136.41999999999999</v>
      </c>
      <c r="D73" s="2" t="s">
        <v>143</v>
      </c>
      <c r="E73" s="3" t="s">
        <v>142</v>
      </c>
    </row>
    <row r="74" spans="1:5">
      <c r="A74" s="18">
        <v>41869</v>
      </c>
      <c r="B74" s="2">
        <v>353</v>
      </c>
      <c r="C74" s="2">
        <v>285.48</v>
      </c>
      <c r="D74" s="3" t="s">
        <v>144</v>
      </c>
      <c r="E74" s="21">
        <f>CHOOSE(MATCH(E73,D69:D71,0),SUM(C69:C82),COUNT(C69:C82),AVERAGE(C69:C82))</f>
        <v>394.44714285714292</v>
      </c>
    </row>
    <row r="75" spans="1:5">
      <c r="A75" s="18">
        <v>41863</v>
      </c>
      <c r="B75" s="2">
        <v>400</v>
      </c>
      <c r="C75" s="2">
        <v>233.02</v>
      </c>
      <c r="D75" s="3" t="s">
        <v>145</v>
      </c>
      <c r="E75" s="12">
        <f>SUBTOTAL(CHOOSE(MATCH(E73,D69:D71,0),9,2,1),C69:C82)</f>
        <v>394.44714285714292</v>
      </c>
    </row>
    <row r="76" spans="1:5">
      <c r="A76" s="18">
        <v>41879</v>
      </c>
      <c r="B76" s="2">
        <v>539</v>
      </c>
      <c r="C76" s="2">
        <v>599.24</v>
      </c>
      <c r="D76" s="1"/>
      <c r="E76" s="1"/>
    </row>
    <row r="77" spans="1:5">
      <c r="A77" s="18">
        <v>41864</v>
      </c>
      <c r="B77" s="2">
        <v>548</v>
      </c>
      <c r="C77" s="2">
        <v>564.32000000000005</v>
      </c>
      <c r="D77" s="1"/>
      <c r="E77" s="1"/>
    </row>
    <row r="78" spans="1:5">
      <c r="A78" s="18">
        <v>41864</v>
      </c>
      <c r="B78" s="2">
        <v>414</v>
      </c>
      <c r="C78" s="2">
        <v>253.34</v>
      </c>
      <c r="D78" s="1"/>
      <c r="E78" s="1"/>
    </row>
    <row r="79" spans="1:5">
      <c r="A79" s="18">
        <v>41880</v>
      </c>
      <c r="B79" s="2">
        <v>411</v>
      </c>
      <c r="C79" s="2">
        <v>501.22</v>
      </c>
      <c r="D79" s="1"/>
      <c r="E79" s="1"/>
    </row>
    <row r="80" spans="1:5">
      <c r="A80" s="18">
        <v>41860</v>
      </c>
      <c r="B80" s="2">
        <v>721</v>
      </c>
      <c r="C80" s="2">
        <v>396.67</v>
      </c>
      <c r="D80" s="1"/>
      <c r="E80" s="1"/>
    </row>
    <row r="81" spans="1:5">
      <c r="A81" s="18">
        <v>41882</v>
      </c>
      <c r="B81" s="2">
        <v>784</v>
      </c>
      <c r="C81" s="2">
        <v>471.73</v>
      </c>
      <c r="D81" s="1"/>
      <c r="E81" s="1"/>
    </row>
    <row r="82" spans="1:5">
      <c r="A82" s="18">
        <v>41881</v>
      </c>
      <c r="B82" s="2">
        <v>380</v>
      </c>
      <c r="C82" s="2">
        <v>629.04</v>
      </c>
      <c r="D82" s="1"/>
      <c r="E82" s="1"/>
    </row>
    <row r="84" spans="1:5">
      <c r="A84" s="22" t="s">
        <v>146</v>
      </c>
      <c r="B84" s="2" t="s">
        <v>147</v>
      </c>
    </row>
    <row r="85" spans="1:5">
      <c r="A85" s="1" t="s">
        <v>148</v>
      </c>
      <c r="B85" s="2">
        <f>ROW()</f>
        <v>85</v>
      </c>
    </row>
    <row r="86" spans="1:5">
      <c r="A86" s="1" t="s">
        <v>148</v>
      </c>
      <c r="B86" s="2">
        <f>ROW()</f>
        <v>86</v>
      </c>
    </row>
    <row r="87" spans="1:5">
      <c r="A87" s="1" t="s">
        <v>149</v>
      </c>
      <c r="B87" s="2">
        <f>ROW(E7)</f>
        <v>7</v>
      </c>
    </row>
    <row r="88" spans="1:5">
      <c r="A88" s="1" t="s">
        <v>150</v>
      </c>
      <c r="B88" s="2" cm="1">
        <f t="array" ref="B88:B89">ROW(G8:H9)</f>
        <v>8</v>
      </c>
    </row>
    <row r="89" spans="1:5" ht="15.75" customHeight="1">
      <c r="B89" s="23">
        <v>9</v>
      </c>
    </row>
    <row r="90" spans="1:5" ht="28.5" customHeight="1">
      <c r="B90" s="23"/>
    </row>
    <row r="91" spans="1:5">
      <c r="A91" s="22" t="s">
        <v>151</v>
      </c>
      <c r="B91" s="2" t="s">
        <v>147</v>
      </c>
    </row>
    <row r="92" spans="1:5">
      <c r="A92" s="1" t="s">
        <v>152</v>
      </c>
      <c r="B92" s="2">
        <f>COLUMN()</f>
        <v>2</v>
      </c>
    </row>
    <row r="93" spans="1:5">
      <c r="A93" s="1" t="s">
        <v>153</v>
      </c>
      <c r="B93" s="2">
        <f>COLUMN(E6)</f>
        <v>5</v>
      </c>
    </row>
    <row r="94" spans="1:5">
      <c r="A94" s="1" t="s">
        <v>154</v>
      </c>
      <c r="B94" s="2" cm="1">
        <f t="array" ref="B94:C94">COLUMN(G2:H3)</f>
        <v>7</v>
      </c>
      <c r="C94">
        <v>8</v>
      </c>
    </row>
    <row r="95" spans="1:5" ht="28.5" customHeight="1"/>
    <row r="96" spans="1:5">
      <c r="A96" s="22" t="s">
        <v>155</v>
      </c>
      <c r="B96" s="2" t="s">
        <v>147</v>
      </c>
    </row>
    <row r="97" spans="1:6">
      <c r="A97" s="1" t="s">
        <v>156</v>
      </c>
      <c r="B97" s="2" t="str">
        <f>ADDRESS(1,1)</f>
        <v>$A$1</v>
      </c>
    </row>
    <row r="98" spans="1:6">
      <c r="A98" s="1" t="s">
        <v>157</v>
      </c>
      <c r="B98" s="2" t="str">
        <f>ADDRESS(1,1,3)</f>
        <v>$A1</v>
      </c>
    </row>
    <row r="99" spans="1:6">
      <c r="A99" s="1" t="s">
        <v>158</v>
      </c>
      <c r="B99" s="2" t="str">
        <f>ADDRESS(1,1,1,1)</f>
        <v>$A$1</v>
      </c>
    </row>
    <row r="100" spans="1:6">
      <c r="A100" s="1" t="s">
        <v>159</v>
      </c>
      <c r="B100" s="2" t="str">
        <f>ADDRESS(1,1,4, , "Sheet2")</f>
        <v>Sheet2!A1</v>
      </c>
    </row>
    <row r="101" spans="1:6">
      <c r="A101" s="1" t="s">
        <v>160</v>
      </c>
      <c r="B101" s="2" t="str">
        <f>ADDRESS(ROW(),COLUMN())</f>
        <v>$B$101</v>
      </c>
    </row>
    <row r="102" spans="1:6" ht="27.75" customHeight="1"/>
    <row r="103" spans="1:6">
      <c r="A103" s="25" t="s">
        <v>161</v>
      </c>
      <c r="B103" s="2" t="s">
        <v>147</v>
      </c>
      <c r="C103" s="2" t="s">
        <v>162</v>
      </c>
      <c r="D103" s="2" t="s">
        <v>163</v>
      </c>
      <c r="E103" s="2" t="s">
        <v>164</v>
      </c>
    </row>
    <row r="104" spans="1:6">
      <c r="A104" s="24" t="s">
        <v>165</v>
      </c>
      <c r="B104" s="2" cm="1">
        <f t="array" aca="1" ref="B104" ca="1">INDIRECT("C104")</f>
        <v>8</v>
      </c>
      <c r="C104" s="2">
        <v>8</v>
      </c>
      <c r="D104" s="2">
        <v>9</v>
      </c>
      <c r="E104" s="2">
        <v>0</v>
      </c>
    </row>
    <row r="105" spans="1:6">
      <c r="A105" s="24" t="s">
        <v>166</v>
      </c>
      <c r="B105" s="2" cm="1">
        <f t="array" aca="1" ref="B105" ca="1">INDIRECT("D"&amp; 107)</f>
        <v>6</v>
      </c>
      <c r="C105" s="2">
        <v>3</v>
      </c>
      <c r="D105" s="2">
        <v>4</v>
      </c>
      <c r="E105" s="2">
        <v>5</v>
      </c>
    </row>
    <row r="106" spans="1:6">
      <c r="A106" s="24" t="s">
        <v>167</v>
      </c>
      <c r="B106" s="2" cm="1">
        <f t="array" aca="1" ref="B106" ca="1">INDIRECT("E"&amp;ROW())</f>
        <v>3</v>
      </c>
      <c r="C106" s="2">
        <v>9</v>
      </c>
      <c r="D106" s="2">
        <v>1</v>
      </c>
      <c r="E106" s="2">
        <v>3</v>
      </c>
    </row>
    <row r="107" spans="1:6">
      <c r="A107" s="24" t="s">
        <v>168</v>
      </c>
      <c r="B107" s="2">
        <f ca="1">SUM(INDIRECT("C107:E107"))</f>
        <v>12</v>
      </c>
      <c r="C107" s="2">
        <v>4</v>
      </c>
      <c r="D107" s="2">
        <v>6</v>
      </c>
      <c r="E107" s="2">
        <v>2</v>
      </c>
    </row>
    <row r="108" spans="1:6" ht="26.25" customHeight="1"/>
    <row r="109" spans="1:6">
      <c r="A109" s="14"/>
      <c r="B109" s="2"/>
      <c r="C109" s="26" t="s">
        <v>169</v>
      </c>
      <c r="D109" s="2"/>
      <c r="E109" s="2"/>
      <c r="F109" s="2"/>
    </row>
    <row r="110" spans="1:6">
      <c r="A110" s="2" t="s">
        <v>170</v>
      </c>
      <c r="B110" s="2" t="s">
        <v>171</v>
      </c>
      <c r="C110" s="2" t="s">
        <v>172</v>
      </c>
      <c r="D110" s="2" t="s">
        <v>173</v>
      </c>
      <c r="E110" s="2" t="s">
        <v>174</v>
      </c>
      <c r="F110" s="2"/>
    </row>
    <row r="111" spans="1:6">
      <c r="A111" s="2" t="s">
        <v>175</v>
      </c>
      <c r="B111" s="2">
        <v>4500</v>
      </c>
      <c r="C111" s="2">
        <v>2200</v>
      </c>
      <c r="D111" s="2">
        <v>3800</v>
      </c>
      <c r="E111" s="2">
        <v>1500</v>
      </c>
      <c r="F111" s="2"/>
    </row>
    <row r="112" spans="1:6">
      <c r="A112" s="2" t="s">
        <v>176</v>
      </c>
      <c r="B112" s="2">
        <v>5500</v>
      </c>
      <c r="C112" s="2">
        <v>6100</v>
      </c>
      <c r="D112" s="2">
        <v>5200</v>
      </c>
      <c r="E112" s="2">
        <v>4800</v>
      </c>
      <c r="F112" s="2"/>
    </row>
    <row r="113" spans="1:6">
      <c r="A113" s="2" t="s">
        <v>177</v>
      </c>
      <c r="B113" s="2">
        <v>7000</v>
      </c>
      <c r="C113" s="2">
        <v>6200</v>
      </c>
      <c r="D113" s="2">
        <v>5000</v>
      </c>
      <c r="E113" s="2">
        <v>7100</v>
      </c>
      <c r="F113" s="2"/>
    </row>
    <row r="114" spans="1:6">
      <c r="A114" s="2" t="s">
        <v>178</v>
      </c>
      <c r="B114" s="2">
        <v>8000</v>
      </c>
      <c r="C114" s="2">
        <v>4000</v>
      </c>
      <c r="D114" s="2">
        <v>3900</v>
      </c>
      <c r="E114" s="2">
        <v>7600</v>
      </c>
      <c r="F114" s="2"/>
    </row>
    <row r="115" spans="1:6">
      <c r="A115" s="2" t="s">
        <v>179</v>
      </c>
      <c r="B115" s="2">
        <v>5900</v>
      </c>
      <c r="C115" s="2">
        <v>5500</v>
      </c>
      <c r="D115" s="2">
        <v>6900</v>
      </c>
      <c r="E115" s="2">
        <v>7100</v>
      </c>
      <c r="F115" s="2"/>
    </row>
    <row r="116" spans="1:6">
      <c r="A116" s="2" t="s">
        <v>180</v>
      </c>
      <c r="B116" s="2">
        <v>4900</v>
      </c>
      <c r="C116" s="2">
        <v>6300</v>
      </c>
      <c r="D116" s="2">
        <v>6900</v>
      </c>
      <c r="E116" s="2">
        <v>5200</v>
      </c>
      <c r="F116" s="2"/>
    </row>
    <row r="117" spans="1:6">
      <c r="A117" s="2" t="s">
        <v>181</v>
      </c>
      <c r="B117" s="2">
        <v>3500</v>
      </c>
      <c r="C117" s="2">
        <v>3900</v>
      </c>
      <c r="D117" s="2">
        <v>5100</v>
      </c>
      <c r="E117" s="2">
        <v>4100</v>
      </c>
      <c r="F117" s="2"/>
    </row>
    <row r="118" spans="1:6">
      <c r="A118" s="3" t="s">
        <v>182</v>
      </c>
      <c r="B118" s="3">
        <f ca="1">OFFSET(A110,3,1)</f>
        <v>7000</v>
      </c>
      <c r="C118" s="3"/>
      <c r="D118" s="3"/>
      <c r="E118" s="3"/>
      <c r="F118" s="3"/>
    </row>
    <row r="119" spans="1:6">
      <c r="A119" s="3" t="s">
        <v>183</v>
      </c>
      <c r="B119" s="3" cm="1">
        <f t="array" aca="1" ref="B119:E119" ca="1">OFFSET(A110,3,1,1,4)</f>
        <v>7000</v>
      </c>
      <c r="C119" s="3">
        <f ca="1"/>
        <v>6200</v>
      </c>
      <c r="D119" s="3">
        <f ca="1"/>
        <v>5000</v>
      </c>
      <c r="E119" s="3">
        <f ca="1"/>
        <v>7100</v>
      </c>
      <c r="F119" s="3"/>
    </row>
    <row r="120" spans="1:6">
      <c r="A120" s="3" t="s">
        <v>184</v>
      </c>
      <c r="B120" s="3" t="str" cm="1">
        <f t="array" aca="1" ref="B120:F120" ca="1">OFFSET(A110:E110,3,0)</f>
        <v>Tuesday</v>
      </c>
      <c r="C120" s="3">
        <f ca="1"/>
        <v>7000</v>
      </c>
      <c r="D120" s="3">
        <f ca="1"/>
        <v>6200</v>
      </c>
      <c r="E120" s="3">
        <f ca="1"/>
        <v>5000</v>
      </c>
      <c r="F120" s="3">
        <f ca="1"/>
        <v>7100</v>
      </c>
    </row>
    <row r="121" spans="1:6">
      <c r="A121" s="3" t="s">
        <v>185</v>
      </c>
      <c r="B121" s="3">
        <f ca="1">SUM(OFFSET(E110,1,-3,7))</f>
        <v>39300</v>
      </c>
      <c r="C121" s="3"/>
      <c r="D121" s="3"/>
      <c r="E121" s="3"/>
      <c r="F121" s="3"/>
    </row>
    <row r="122" spans="1:6" ht="35.25" customHeight="1"/>
    <row r="123" spans="1:6">
      <c r="A123" s="22" t="s">
        <v>186</v>
      </c>
      <c r="B123" s="2" t="s">
        <v>147</v>
      </c>
    </row>
    <row r="124" spans="1:6">
      <c r="A124" s="1" t="s">
        <v>187</v>
      </c>
      <c r="B124" s="2">
        <f>ROWS(B1)</f>
        <v>1</v>
      </c>
    </row>
    <row r="125" spans="1:6">
      <c r="A125" s="1" t="s">
        <v>188</v>
      </c>
      <c r="B125" s="2">
        <f>ROWS(B1:E5)</f>
        <v>5</v>
      </c>
    </row>
    <row r="126" spans="1:6">
      <c r="A126" s="1" t="s">
        <v>189</v>
      </c>
      <c r="B126" s="2">
        <f>ROWS(B:B)</f>
        <v>1048576</v>
      </c>
    </row>
    <row r="127" spans="1:6" ht="28.5" customHeight="1"/>
    <row r="128" spans="1:6">
      <c r="A128" s="22" t="s">
        <v>190</v>
      </c>
      <c r="B128" s="2" t="s">
        <v>147</v>
      </c>
    </row>
    <row r="129" spans="1:7">
      <c r="A129" s="1" t="s">
        <v>191</v>
      </c>
      <c r="B129" s="2">
        <f>COLUMNS(A1)</f>
        <v>1</v>
      </c>
    </row>
    <row r="130" spans="1:7">
      <c r="A130" s="1" t="s">
        <v>192</v>
      </c>
      <c r="B130" s="2">
        <f>COLUMNS(A1:D5)</f>
        <v>4</v>
      </c>
    </row>
    <row r="131" spans="1:7">
      <c r="A131" s="1" t="s">
        <v>193</v>
      </c>
      <c r="B131" s="2">
        <f>COLUMNS(1:1)</f>
        <v>16384</v>
      </c>
    </row>
    <row r="132" spans="1:7" ht="32.25" customHeight="1"/>
    <row r="133" spans="1:7">
      <c r="A133" s="22" t="s">
        <v>194</v>
      </c>
      <c r="B133" s="2" t="s">
        <v>147</v>
      </c>
    </row>
    <row r="134" spans="1:7">
      <c r="A134" s="1" t="s">
        <v>195</v>
      </c>
      <c r="B134" s="2">
        <f>AREAS(C1:E2)</f>
        <v>1</v>
      </c>
    </row>
    <row r="135" spans="1:7">
      <c r="A135" s="1" t="s">
        <v>196</v>
      </c>
      <c r="B135" s="2">
        <f>AREAS((C1:E2,B3:B5))</f>
        <v>2</v>
      </c>
    </row>
    <row r="136" spans="1:7">
      <c r="A136" s="1" t="s">
        <v>197</v>
      </c>
      <c r="B136" s="2">
        <f>AREAS((B2,C1:E3,D1:E5))</f>
        <v>3</v>
      </c>
    </row>
    <row r="137" spans="1:7" ht="30.75" customHeight="1"/>
    <row r="138" spans="1:7">
      <c r="A138" s="22" t="s">
        <v>198</v>
      </c>
      <c r="B138" s="1"/>
      <c r="C138" s="1"/>
      <c r="D138" s="1"/>
      <c r="E138" s="1"/>
      <c r="F138" s="1"/>
      <c r="G138" s="1"/>
    </row>
    <row r="139" spans="1:7">
      <c r="A139" s="2" t="s">
        <v>199</v>
      </c>
      <c r="B139" s="3" t="str" cm="1">
        <f t="array" ref="B139:G139">TRANSPOSE(A140:A145)</f>
        <v>A</v>
      </c>
      <c r="C139" s="3" t="str">
        <v>B</v>
      </c>
      <c r="D139" s="3" t="str">
        <v>C</v>
      </c>
      <c r="E139" s="3" t="str">
        <v>D</v>
      </c>
      <c r="F139" s="3" t="str">
        <v>E</v>
      </c>
      <c r="G139" s="3" t="str">
        <v>F</v>
      </c>
    </row>
    <row r="140" spans="1:7">
      <c r="A140" s="2" t="s">
        <v>200</v>
      </c>
      <c r="B140" s="1"/>
      <c r="C140" s="1"/>
      <c r="D140" s="1"/>
      <c r="E140" s="1"/>
      <c r="F140" s="1"/>
      <c r="G140" s="1"/>
    </row>
    <row r="141" spans="1:7">
      <c r="A141" s="2" t="s">
        <v>201</v>
      </c>
      <c r="B141" s="1"/>
      <c r="C141" s="1"/>
      <c r="D141" s="1"/>
      <c r="E141" s="1"/>
      <c r="F141" s="1"/>
      <c r="G141" s="1"/>
    </row>
    <row r="142" spans="1:7">
      <c r="A142" s="2" t="s">
        <v>202</v>
      </c>
      <c r="B142" s="1"/>
      <c r="C142" s="1"/>
      <c r="D142" s="1"/>
      <c r="E142" s="1"/>
      <c r="F142" s="1"/>
      <c r="G142" s="1"/>
    </row>
    <row r="143" spans="1:7">
      <c r="A143" s="2" t="s">
        <v>203</v>
      </c>
      <c r="B143" s="1"/>
      <c r="C143" s="1"/>
      <c r="D143" s="1"/>
      <c r="E143" s="1"/>
      <c r="F143" s="1"/>
      <c r="G143" s="1"/>
    </row>
    <row r="144" spans="1:7">
      <c r="A144" s="2" t="s">
        <v>204</v>
      </c>
      <c r="B144" s="1"/>
      <c r="C144" s="1"/>
      <c r="D144" s="1"/>
      <c r="E144" s="1"/>
      <c r="F144" s="1"/>
      <c r="G144" s="1"/>
    </row>
    <row r="145" spans="1:7">
      <c r="A145" s="2" t="s">
        <v>205</v>
      </c>
      <c r="B145" s="1"/>
      <c r="C145" s="1"/>
      <c r="D145" s="1"/>
      <c r="E145" s="1"/>
      <c r="F145" s="1"/>
      <c r="G145" s="1"/>
    </row>
    <row r="146" spans="1:7" ht="32.25" customHeight="1"/>
    <row r="147" spans="1:7">
      <c r="A147" s="2" t="s">
        <v>162</v>
      </c>
      <c r="B147" s="2" t="s">
        <v>163</v>
      </c>
      <c r="C147" s="2" t="s">
        <v>164</v>
      </c>
      <c r="D147" s="2" t="s">
        <v>206</v>
      </c>
    </row>
    <row r="148" spans="1:7">
      <c r="A148" s="2" t="s">
        <v>200</v>
      </c>
      <c r="B148" s="2" t="s">
        <v>201</v>
      </c>
      <c r="C148" s="2" t="s">
        <v>202</v>
      </c>
      <c r="D148" s="2" t="s">
        <v>203</v>
      </c>
    </row>
    <row r="149" spans="1:7">
      <c r="A149" s="2" t="s">
        <v>207</v>
      </c>
      <c r="B149" s="2" t="s">
        <v>208</v>
      </c>
      <c r="C149" s="2" t="s">
        <v>209</v>
      </c>
      <c r="D149" s="2" t="s">
        <v>210</v>
      </c>
    </row>
    <row r="150" spans="1:7">
      <c r="A150" s="2"/>
      <c r="B150" s="2"/>
      <c r="C150" s="2"/>
      <c r="D150" s="2"/>
    </row>
    <row r="151" spans="1:7">
      <c r="A151" s="2"/>
      <c r="B151" s="14" t="s">
        <v>211</v>
      </c>
      <c r="C151" s="2"/>
      <c r="D151" s="2"/>
    </row>
    <row r="152" spans="1:7">
      <c r="A152" s="3" t="str" cm="1">
        <f t="array" ref="A152:B155">TRANSPOSE(A148:D149)</f>
        <v>A</v>
      </c>
      <c r="B152" s="3" t="str">
        <v>AA</v>
      </c>
      <c r="C152" s="2"/>
      <c r="D152" s="2"/>
    </row>
    <row r="153" spans="1:7">
      <c r="A153" s="3" t="str">
        <v>B</v>
      </c>
      <c r="B153" s="3" t="str">
        <v>AB</v>
      </c>
      <c r="C153" s="2"/>
      <c r="D153" s="2"/>
    </row>
    <row r="154" spans="1:7">
      <c r="A154" s="3" t="str">
        <v>C</v>
      </c>
      <c r="B154" s="3" t="str">
        <v>AC</v>
      </c>
      <c r="C154" s="2"/>
      <c r="D154" s="2"/>
    </row>
    <row r="155" spans="1:7">
      <c r="A155" s="3" t="str">
        <v>D</v>
      </c>
      <c r="B155" s="3" t="str">
        <v>AD</v>
      </c>
      <c r="C155" s="2"/>
      <c r="D155" s="2"/>
    </row>
    <row r="156" spans="1:7" ht="32.25" customHeight="1"/>
    <row r="157" spans="1:7" ht="29.25">
      <c r="A157" s="2"/>
      <c r="B157" s="28" t="s">
        <v>212</v>
      </c>
      <c r="C157" s="2"/>
    </row>
    <row r="158" spans="1:7">
      <c r="A158" s="5" t="s">
        <v>122</v>
      </c>
      <c r="B158" s="5" t="s">
        <v>213</v>
      </c>
      <c r="C158" s="14" t="s">
        <v>214</v>
      </c>
    </row>
    <row r="159" spans="1:7">
      <c r="A159" s="2">
        <v>1234.56</v>
      </c>
      <c r="B159" s="29" t="s">
        <v>215</v>
      </c>
      <c r="C159" s="2" t="str">
        <f>TEXT(A159,"0.00")</f>
        <v>1234.56</v>
      </c>
    </row>
    <row r="160" spans="1:7">
      <c r="A160" s="2">
        <v>1234.56</v>
      </c>
      <c r="B160" s="29" t="s">
        <v>216</v>
      </c>
      <c r="C160" s="16" t="str">
        <f>TEXT(A160,"#,##0")</f>
        <v>1,235</v>
      </c>
    </row>
    <row r="161" spans="1:3">
      <c r="A161" s="2">
        <v>1234.56</v>
      </c>
      <c r="B161" s="29" t="s">
        <v>217</v>
      </c>
      <c r="C161" s="4" t="str">
        <f>TEXT(A161,"#,##0.00")</f>
        <v>1,234.56</v>
      </c>
    </row>
    <row r="162" spans="1:3">
      <c r="A162" s="2">
        <v>1234.56</v>
      </c>
      <c r="B162" s="29" t="s">
        <v>218</v>
      </c>
      <c r="C162" s="30" t="str">
        <f>TEXT(A162,"$#,##0")</f>
        <v>$1,235</v>
      </c>
    </row>
    <row r="163" spans="1:3">
      <c r="A163" s="2">
        <v>1234.56</v>
      </c>
      <c r="B163" s="29" t="s">
        <v>219</v>
      </c>
      <c r="C163" s="10" t="str">
        <f>TEXT(A163,"$#,##0.00")</f>
        <v>$1,234.56</v>
      </c>
    </row>
    <row r="164" spans="1:3">
      <c r="A164" s="2">
        <v>-1234.56</v>
      </c>
      <c r="B164" s="29" t="s">
        <v>220</v>
      </c>
      <c r="C164" s="10" t="str">
        <f>TEXT(A164,"$#,##0.00_);($#,##0.00)")</f>
        <v>($1,234.56)</v>
      </c>
    </row>
    <row r="165" spans="1:3">
      <c r="A165" s="2">
        <v>1234.56</v>
      </c>
      <c r="B165" s="29" t="s">
        <v>221</v>
      </c>
      <c r="C165" s="30" t="str">
        <f>TEXT(A165,"$ * #,##0")</f>
        <v>$ 1,235</v>
      </c>
    </row>
    <row r="166" spans="1:3">
      <c r="A166" s="2">
        <v>1234.56</v>
      </c>
      <c r="B166" s="29" t="s">
        <v>222</v>
      </c>
      <c r="C166" s="10" t="str">
        <f>TEXT(A166,"$ * #,##0.00")</f>
        <v>$ 1,234.56</v>
      </c>
    </row>
    <row r="167" spans="1:3" ht="30.75" customHeight="1">
      <c r="A167" s="27"/>
    </row>
    <row r="168" spans="1:3" ht="29.25">
      <c r="A168" s="2"/>
      <c r="B168" s="28" t="s">
        <v>223</v>
      </c>
      <c r="C168" s="2"/>
    </row>
    <row r="169" spans="1:3">
      <c r="A169" s="5" t="s">
        <v>122</v>
      </c>
      <c r="B169" s="5" t="s">
        <v>213</v>
      </c>
      <c r="C169" s="3" t="s">
        <v>214</v>
      </c>
    </row>
    <row r="170" spans="1:3">
      <c r="A170" s="2">
        <v>12200000</v>
      </c>
      <c r="B170" s="29" t="s">
        <v>224</v>
      </c>
      <c r="C170" s="16" t="str">
        <f>TEXT(A170,"#,###")</f>
        <v>12,200,000</v>
      </c>
    </row>
    <row r="171" spans="1:3">
      <c r="A171" s="2">
        <v>12200000</v>
      </c>
      <c r="B171" s="29" t="s">
        <v>225</v>
      </c>
      <c r="C171" s="4" t="str">
        <f>TEXT(A171,"0,000.00")</f>
        <v>12,200,000.00</v>
      </c>
    </row>
    <row r="172" spans="1:3">
      <c r="A172" s="2">
        <v>12200000</v>
      </c>
      <c r="B172" s="29" t="s">
        <v>226</v>
      </c>
      <c r="C172" s="2" t="str">
        <f>TEXT(A172,"#,")</f>
        <v>12200</v>
      </c>
    </row>
    <row r="173" spans="1:3">
      <c r="A173" s="2">
        <v>12200000</v>
      </c>
      <c r="B173" s="29" t="s">
        <v>227</v>
      </c>
      <c r="C173" s="4" t="str">
        <f>TEXT(A173,"#,###.0,")</f>
        <v>12,200.0</v>
      </c>
    </row>
    <row r="174" spans="1:3">
      <c r="A174" s="2">
        <v>12200000</v>
      </c>
      <c r="B174" s="29" t="s">
        <v>228</v>
      </c>
      <c r="C174" s="2" t="str">
        <f>TEXT(A174,"0.0,,")</f>
        <v>12.2</v>
      </c>
    </row>
    <row r="175" spans="1:3" ht="33.75" customHeight="1"/>
    <row r="176" spans="1:3" ht="29.25">
      <c r="A176" s="2"/>
      <c r="B176" s="28" t="s">
        <v>229</v>
      </c>
      <c r="C176" s="2"/>
    </row>
    <row r="177" spans="1:3">
      <c r="A177" s="5" t="s">
        <v>122</v>
      </c>
      <c r="B177" s="32" t="s">
        <v>213</v>
      </c>
      <c r="C177" s="3" t="s">
        <v>214</v>
      </c>
    </row>
    <row r="178" spans="1:3">
      <c r="A178" s="2" t="s">
        <v>230</v>
      </c>
      <c r="B178" s="31" t="s">
        <v>231</v>
      </c>
      <c r="C178" s="2" t="str">
        <f ca="1">TEXT(B191,"m")</f>
        <v>8</v>
      </c>
    </row>
    <row r="179" spans="1:3">
      <c r="A179" s="2" t="s">
        <v>232</v>
      </c>
      <c r="B179" s="31" t="s">
        <v>233</v>
      </c>
      <c r="C179" s="2" t="str">
        <f ca="1">TEXT(B191,"mm")</f>
        <v>08</v>
      </c>
    </row>
    <row r="180" spans="1:3">
      <c r="A180" s="2" t="s">
        <v>234</v>
      </c>
      <c r="B180" s="31" t="s">
        <v>235</v>
      </c>
      <c r="C180" s="2" t="str">
        <f ca="1">TEXT(B191,"mmm")</f>
        <v>Aug</v>
      </c>
    </row>
    <row r="181" spans="1:3">
      <c r="A181" s="2" t="s">
        <v>236</v>
      </c>
      <c r="B181" s="31" t="s">
        <v>237</v>
      </c>
      <c r="C181" s="2" t="str">
        <f ca="1">TEXT(B191,"mmmm")</f>
        <v>August</v>
      </c>
    </row>
    <row r="182" spans="1:3">
      <c r="A182" s="2" t="s">
        <v>238</v>
      </c>
      <c r="B182" s="31" t="s">
        <v>239</v>
      </c>
      <c r="C182" s="2" t="str">
        <f ca="1">TEXT(B191,"mmmmm")</f>
        <v>A</v>
      </c>
    </row>
    <row r="183" spans="1:3">
      <c r="A183" s="2" t="s">
        <v>240</v>
      </c>
      <c r="B183" s="31" t="s">
        <v>241</v>
      </c>
      <c r="C183" s="2" t="str">
        <f ca="1">TEXT(B191,"d")</f>
        <v>2</v>
      </c>
    </row>
    <row r="184" spans="1:3">
      <c r="A184" s="2" t="s">
        <v>242</v>
      </c>
      <c r="B184" s="31" t="s">
        <v>243</v>
      </c>
      <c r="C184" s="2" t="str">
        <f ca="1">TEXT(B191,"dd")</f>
        <v>02</v>
      </c>
    </row>
    <row r="185" spans="1:3">
      <c r="A185" s="2" t="s">
        <v>244</v>
      </c>
      <c r="B185" s="31" t="s">
        <v>245</v>
      </c>
      <c r="C185" s="2" t="str">
        <f ca="1">TEXT(B191,"ddd")</f>
        <v>Sat</v>
      </c>
    </row>
    <row r="186" spans="1:3">
      <c r="A186" s="2" t="s">
        <v>246</v>
      </c>
      <c r="B186" s="31" t="s">
        <v>247</v>
      </c>
      <c r="C186" s="2" t="str">
        <f ca="1">TEXT(B191,"dddd")</f>
        <v>Saturday</v>
      </c>
    </row>
    <row r="187" spans="1:3">
      <c r="A187" s="2" t="s">
        <v>248</v>
      </c>
      <c r="B187" s="31" t="s">
        <v>249</v>
      </c>
      <c r="C187" s="2" t="str">
        <f ca="1">TEXT(B191,"yy")</f>
        <v>25</v>
      </c>
    </row>
    <row r="188" spans="1:3">
      <c r="A188" s="2" t="s">
        <v>250</v>
      </c>
      <c r="B188" s="31" t="s">
        <v>251</v>
      </c>
      <c r="C188" s="2" t="str">
        <f ca="1">TEXT(B191,"yyy")</f>
        <v>2025</v>
      </c>
    </row>
    <row r="189" spans="1:3">
      <c r="A189" s="2" t="s">
        <v>252</v>
      </c>
      <c r="B189" s="31" t="s">
        <v>253</v>
      </c>
      <c r="C189" s="2" t="str">
        <f ca="1">"Date: " &amp;TEXT(B192,"mm/dd/yyyy")</f>
        <v>Date: 08/02/2025</v>
      </c>
    </row>
    <row r="190" spans="1:3" ht="29.25">
      <c r="A190" s="2" t="s">
        <v>254</v>
      </c>
      <c r="B190" s="31" t="s">
        <v>255</v>
      </c>
      <c r="C190" s="2" t="str">
        <f ca="1">"Date-Time: " &amp;TEXT(B192,"mm/dd/yyyy h:mm AM/PM")</f>
        <v>Date-Time: 08/02/2025 5:19 PM</v>
      </c>
    </row>
    <row r="191" spans="1:3">
      <c r="A191" s="3" t="s">
        <v>256</v>
      </c>
      <c r="B191" s="33">
        <f ca="1">TODAY()</f>
        <v>45871</v>
      </c>
      <c r="C191" s="2"/>
    </row>
    <row r="192" spans="1:3">
      <c r="A192" s="3" t="s">
        <v>257</v>
      </c>
      <c r="B192" s="34">
        <f ca="1">NOW()</f>
        <v>45871.72197175926</v>
      </c>
      <c r="C192" s="2"/>
    </row>
    <row r="193" spans="1:5" ht="28.5" customHeight="1"/>
    <row r="194" spans="1:5">
      <c r="A194" s="2"/>
      <c r="B194" s="2"/>
      <c r="C194" s="14" t="s">
        <v>258</v>
      </c>
      <c r="D194" s="2"/>
      <c r="E194" s="2"/>
    </row>
    <row r="195" spans="1:5">
      <c r="A195" s="2" t="s">
        <v>259</v>
      </c>
      <c r="B195" s="2" t="s">
        <v>260</v>
      </c>
      <c r="C195" s="3" t="s">
        <v>261</v>
      </c>
      <c r="D195" s="3" t="s">
        <v>262</v>
      </c>
      <c r="E195" s="3" t="s">
        <v>263</v>
      </c>
    </row>
    <row r="196" spans="1:5">
      <c r="A196" s="35" t="s">
        <v>264</v>
      </c>
      <c r="B196" s="2" t="s">
        <v>265</v>
      </c>
      <c r="C196" s="2" t="str">
        <f>CONCATENATE(A196," ",B196)</f>
        <v>www.Facebook.com /Home</v>
      </c>
      <c r="D196" s="2" t="str">
        <f>A196 &amp; B196</f>
        <v>www.Facebook.com/Home</v>
      </c>
      <c r="E196" s="2" t="str">
        <f>CONCATENATE(A196,CONCATENATE("123"),B196)</f>
        <v>www.Facebook.com123/Home</v>
      </c>
    </row>
    <row r="197" spans="1:5">
      <c r="A197" s="35" t="s">
        <v>266</v>
      </c>
      <c r="B197" s="2" t="s">
        <v>267</v>
      </c>
      <c r="C197" s="2" t="str">
        <f t="shared" ref="C197:C198" si="1">CONCATENATE(A197," ",B197)</f>
        <v>www.Gmail.com /Profile</v>
      </c>
      <c r="D197" s="2" t="str">
        <f t="shared" ref="D197:D198" si="2">A197 &amp; B197</f>
        <v>www.Gmail.com/Profile</v>
      </c>
      <c r="E197" s="2" t="str">
        <f t="shared" ref="E197:E198" si="3">CONCATENATE(A197,CONCATENATE("123"),B197)</f>
        <v>www.Gmail.com123/Profile</v>
      </c>
    </row>
    <row r="198" spans="1:5">
      <c r="A198" s="35" t="s">
        <v>268</v>
      </c>
      <c r="B198" s="2" t="s">
        <v>269</v>
      </c>
      <c r="C198" s="2" t="str">
        <f t="shared" si="1"/>
        <v>www.Youtube.com /Adhome</v>
      </c>
      <c r="D198" s="2" t="str">
        <f t="shared" si="2"/>
        <v>www.Youtube.com/Adhome</v>
      </c>
      <c r="E198" s="2" t="str">
        <f t="shared" si="3"/>
        <v>www.Youtube.com123/Adhome</v>
      </c>
    </row>
    <row r="199" spans="1:5" ht="26.25" customHeight="1"/>
    <row r="200" spans="1:5">
      <c r="A200" s="2"/>
      <c r="B200" s="14" t="s">
        <v>270</v>
      </c>
    </row>
    <row r="201" spans="1:5">
      <c r="A201" s="2" t="s">
        <v>271</v>
      </c>
      <c r="B201" s="14" t="s">
        <v>213</v>
      </c>
    </row>
    <row r="202" spans="1:5">
      <c r="A202" s="2" t="s">
        <v>272</v>
      </c>
      <c r="B202" s="2">
        <f>LEN(A202)</f>
        <v>29</v>
      </c>
    </row>
    <row r="203" spans="1:5">
      <c r="A203" s="37">
        <v>390842000000</v>
      </c>
      <c r="B203" s="2">
        <f>LEN(A203)</f>
        <v>12</v>
      </c>
    </row>
    <row r="204" spans="1:5">
      <c r="A204" s="2">
        <v>11111111111</v>
      </c>
      <c r="B204" s="2">
        <f t="shared" ref="B203:B205" si="4">LEN(A204)</f>
        <v>11</v>
      </c>
    </row>
    <row r="205" spans="1:5">
      <c r="A205" s="2">
        <v>-86702191</v>
      </c>
      <c r="B205" s="2">
        <f t="shared" si="4"/>
        <v>9</v>
      </c>
    </row>
    <row r="206" spans="1:5" ht="28.5" customHeight="1"/>
    <row r="207" spans="1:5">
      <c r="A207" s="2"/>
      <c r="B207" s="14" t="s">
        <v>273</v>
      </c>
    </row>
    <row r="208" spans="1:5">
      <c r="A208" s="2" t="s">
        <v>274</v>
      </c>
      <c r="B208" s="2" t="s">
        <v>275</v>
      </c>
      <c r="C208" s="36"/>
    </row>
    <row r="209" spans="1:7">
      <c r="A209" s="2" t="s">
        <v>276</v>
      </c>
      <c r="B209" s="10">
        <v>28</v>
      </c>
    </row>
    <row r="210" spans="1:7">
      <c r="A210" s="2" t="s">
        <v>277</v>
      </c>
      <c r="B210" s="10">
        <v>30</v>
      </c>
    </row>
    <row r="211" spans="1:7">
      <c r="A211" s="2" t="s">
        <v>276</v>
      </c>
      <c r="B211" s="10">
        <v>28</v>
      </c>
    </row>
    <row r="212" spans="1:7">
      <c r="A212" s="2" t="s">
        <v>278</v>
      </c>
      <c r="B212" s="10">
        <v>49</v>
      </c>
    </row>
    <row r="213" spans="1:7">
      <c r="A213" s="2" t="s">
        <v>278</v>
      </c>
      <c r="B213" s="10">
        <v>32</v>
      </c>
    </row>
    <row r="214" spans="1:7">
      <c r="A214" s="2" t="s">
        <v>279</v>
      </c>
      <c r="B214" s="10">
        <v>35</v>
      </c>
    </row>
    <row r="215" spans="1:7">
      <c r="A215" s="2"/>
      <c r="B215" s="10">
        <v>40</v>
      </c>
    </row>
    <row r="216" spans="1:7">
      <c r="A216" s="2" t="s">
        <v>278</v>
      </c>
      <c r="B216" s="10">
        <v>31</v>
      </c>
    </row>
    <row r="217" spans="1:7">
      <c r="A217" s="2" t="s">
        <v>276</v>
      </c>
      <c r="B217" s="10">
        <v>40</v>
      </c>
    </row>
    <row r="218" spans="1:7">
      <c r="A218" s="26" t="s">
        <v>213</v>
      </c>
      <c r="B218" s="3">
        <f>COUNTA(A209:A217)</f>
        <v>8</v>
      </c>
    </row>
    <row r="219" spans="1:7" ht="27" customHeight="1"/>
    <row r="220" spans="1:7">
      <c r="A220" s="2"/>
      <c r="B220" s="2"/>
      <c r="C220" s="14" t="s">
        <v>280</v>
      </c>
      <c r="D220" s="2"/>
      <c r="E220" s="2"/>
      <c r="F220" s="2"/>
      <c r="G220" s="2"/>
    </row>
    <row r="221" spans="1:7">
      <c r="A221" s="2" t="s">
        <v>281</v>
      </c>
      <c r="B221" s="2" t="s">
        <v>282</v>
      </c>
      <c r="C221" s="2" t="s">
        <v>283</v>
      </c>
      <c r="D221" s="2" t="s">
        <v>284</v>
      </c>
      <c r="E221" s="3" t="s">
        <v>285</v>
      </c>
      <c r="F221" s="3" t="s">
        <v>286</v>
      </c>
      <c r="G221" s="3" t="s">
        <v>287</v>
      </c>
    </row>
    <row r="222" spans="1:7">
      <c r="A222" s="2">
        <v>1</v>
      </c>
      <c r="B222" s="38">
        <v>42979</v>
      </c>
      <c r="C222" s="18">
        <v>43344</v>
      </c>
      <c r="D222" s="30">
        <v>22064</v>
      </c>
      <c r="E222" s="2">
        <f>_xlfn.DAYS(C222,B222)</f>
        <v>365</v>
      </c>
      <c r="F222" s="2">
        <f>DAYS360(B222,C222,FALSE)</f>
        <v>360</v>
      </c>
      <c r="G222" s="2">
        <f>NETWORKDAYS(B222,C222,3)</f>
        <v>261</v>
      </c>
    </row>
    <row r="223" spans="1:7">
      <c r="A223" s="2">
        <v>2</v>
      </c>
      <c r="B223" s="38">
        <v>42989</v>
      </c>
      <c r="C223" s="18">
        <v>43289</v>
      </c>
      <c r="D223" s="30">
        <v>42797</v>
      </c>
      <c r="E223" s="2">
        <f>_xlfn.DAYS(C223,B223)</f>
        <v>300</v>
      </c>
      <c r="F223" s="2">
        <f t="shared" ref="F223:F224" si="5">DAYS360(B223,C223,FALSE)</f>
        <v>297</v>
      </c>
      <c r="G223" s="2">
        <f t="shared" ref="G223:G224" si="6">NETWORKDAYS(B223,C223,3)</f>
        <v>215</v>
      </c>
    </row>
    <row r="224" spans="1:7">
      <c r="A224" s="2">
        <v>3</v>
      </c>
      <c r="B224" s="18">
        <v>43009</v>
      </c>
      <c r="C224" s="18">
        <v>43045</v>
      </c>
      <c r="D224" s="30">
        <v>48863</v>
      </c>
      <c r="E224" s="2">
        <f t="shared" ref="E224" si="7">_xlfn.DAYS(C224,B224)</f>
        <v>36</v>
      </c>
      <c r="F224" s="2">
        <f t="shared" si="5"/>
        <v>35</v>
      </c>
      <c r="G224" s="2">
        <f t="shared" si="6"/>
        <v>26</v>
      </c>
    </row>
    <row r="225" spans="1:4" ht="30" customHeight="1"/>
    <row r="226" spans="1:4">
      <c r="A226" s="2"/>
      <c r="B226" s="2"/>
      <c r="C226" s="14" t="s">
        <v>288</v>
      </c>
      <c r="D226" s="2"/>
    </row>
    <row r="227" spans="1:4">
      <c r="A227" s="2" t="s">
        <v>274</v>
      </c>
      <c r="B227" s="2" t="s">
        <v>275</v>
      </c>
      <c r="C227" s="2" t="s">
        <v>289</v>
      </c>
      <c r="D227" s="14" t="s">
        <v>290</v>
      </c>
    </row>
    <row r="228" spans="1:4">
      <c r="A228" s="2" t="s">
        <v>276</v>
      </c>
      <c r="B228" s="10">
        <v>28</v>
      </c>
      <c r="C228" s="2" t="s">
        <v>276</v>
      </c>
      <c r="D228" s="2">
        <f>SUMIFS($B$228:$B$243,$A$228:$A$243,C228)</f>
        <v>136</v>
      </c>
    </row>
    <row r="229" spans="1:4">
      <c r="A229" s="2" t="s">
        <v>277</v>
      </c>
      <c r="B229" s="10">
        <v>30</v>
      </c>
      <c r="C229" s="2" t="s">
        <v>277</v>
      </c>
      <c r="D229" s="2">
        <f>SUMIFS($B$228:$B$243,$A$228:$A$243,C229)</f>
        <v>176</v>
      </c>
    </row>
    <row r="230" spans="1:4">
      <c r="A230" s="2" t="s">
        <v>276</v>
      </c>
      <c r="B230" s="10">
        <v>28</v>
      </c>
      <c r="C230" s="2" t="s">
        <v>278</v>
      </c>
      <c r="D230" s="2">
        <f>SUMIFS($B$228:$B$243,$A$228:$A$243,C230)</f>
        <v>112</v>
      </c>
    </row>
    <row r="231" spans="1:4">
      <c r="A231" s="2" t="s">
        <v>278</v>
      </c>
      <c r="B231" s="10">
        <v>49</v>
      </c>
      <c r="C231" s="2" t="s">
        <v>279</v>
      </c>
      <c r="D231" s="2">
        <f>SUMIFS($B$228:$B$243,$A$228:$A$243,C231)</f>
        <v>145</v>
      </c>
    </row>
    <row r="232" spans="1:4">
      <c r="A232" s="2" t="s">
        <v>278</v>
      </c>
      <c r="B232" s="10">
        <v>32</v>
      </c>
      <c r="C232" s="2"/>
      <c r="D232" s="2"/>
    </row>
    <row r="233" spans="1:4">
      <c r="A233" s="2" t="s">
        <v>279</v>
      </c>
      <c r="B233" s="10">
        <v>35</v>
      </c>
      <c r="C233" s="2"/>
      <c r="D233" s="2"/>
    </row>
    <row r="234" spans="1:4">
      <c r="A234" s="2" t="s">
        <v>276</v>
      </c>
      <c r="B234" s="10">
        <v>40</v>
      </c>
      <c r="C234" s="2"/>
      <c r="D234" s="2"/>
    </row>
    <row r="235" spans="1:4">
      <c r="A235" s="2" t="s">
        <v>278</v>
      </c>
      <c r="B235" s="10">
        <v>31</v>
      </c>
      <c r="C235" s="2"/>
      <c r="D235" s="2"/>
    </row>
    <row r="236" spans="1:4">
      <c r="A236" s="2" t="s">
        <v>276</v>
      </c>
      <c r="B236" s="10">
        <v>40</v>
      </c>
      <c r="C236" s="2"/>
      <c r="D236" s="2"/>
    </row>
    <row r="237" spans="1:4">
      <c r="A237" s="2" t="s">
        <v>277</v>
      </c>
      <c r="B237" s="10">
        <v>31</v>
      </c>
      <c r="C237" s="2"/>
      <c r="D237" s="2"/>
    </row>
    <row r="238" spans="1:4">
      <c r="A238" s="2" t="s">
        <v>277</v>
      </c>
      <c r="B238" s="10">
        <v>40</v>
      </c>
      <c r="C238" s="2"/>
      <c r="D238" s="2"/>
    </row>
    <row r="239" spans="1:4">
      <c r="A239" s="2" t="s">
        <v>277</v>
      </c>
      <c r="B239" s="10">
        <v>35</v>
      </c>
      <c r="C239" s="2"/>
      <c r="D239" s="2"/>
    </row>
    <row r="240" spans="1:4">
      <c r="A240" s="2" t="s">
        <v>277</v>
      </c>
      <c r="B240" s="10">
        <v>40</v>
      </c>
      <c r="C240" s="2"/>
      <c r="D240" s="2"/>
    </row>
    <row r="241" spans="1:5">
      <c r="A241" s="2" t="s">
        <v>279</v>
      </c>
      <c r="B241" s="10">
        <v>35</v>
      </c>
      <c r="C241" s="2"/>
      <c r="D241" s="2"/>
    </row>
    <row r="242" spans="1:5">
      <c r="A242" s="2" t="s">
        <v>279</v>
      </c>
      <c r="B242" s="10">
        <v>40</v>
      </c>
      <c r="C242" s="2"/>
      <c r="D242" s="2"/>
    </row>
    <row r="243" spans="1:5">
      <c r="A243" s="2" t="s">
        <v>279</v>
      </c>
      <c r="B243" s="10">
        <v>35</v>
      </c>
      <c r="C243" s="2"/>
      <c r="D243" s="2"/>
    </row>
    <row r="244" spans="1:5" ht="30" customHeight="1"/>
    <row r="245" spans="1:5">
      <c r="A245" s="2"/>
      <c r="B245" s="2"/>
      <c r="C245" s="14" t="s">
        <v>291</v>
      </c>
      <c r="D245" s="2"/>
      <c r="E245" s="2"/>
    </row>
    <row r="246" spans="1:5">
      <c r="A246" s="2" t="s">
        <v>274</v>
      </c>
      <c r="B246" s="2" t="s">
        <v>292</v>
      </c>
      <c r="C246" s="2" t="s">
        <v>275</v>
      </c>
      <c r="D246" s="2" t="s">
        <v>289</v>
      </c>
      <c r="E246" s="14" t="s">
        <v>293</v>
      </c>
    </row>
    <row r="247" spans="1:5">
      <c r="A247" s="2" t="s">
        <v>276</v>
      </c>
      <c r="B247" s="2">
        <v>4</v>
      </c>
      <c r="C247" s="10">
        <v>28</v>
      </c>
      <c r="D247" s="2" t="s">
        <v>276</v>
      </c>
      <c r="E247" s="2">
        <f>AVERAGEIFS($B$247:$B$262,$A$247:$A$262,D247)</f>
        <v>36.25</v>
      </c>
    </row>
    <row r="248" spans="1:5">
      <c r="A248" s="2" t="s">
        <v>277</v>
      </c>
      <c r="B248" s="2">
        <v>5</v>
      </c>
      <c r="C248" s="10">
        <v>30</v>
      </c>
      <c r="D248" s="2" t="s">
        <v>277</v>
      </c>
      <c r="E248" s="2">
        <f t="shared" ref="E248:E250" si="8">AVERAGEIFS($B$247:$B$262,$A$247:$A$262,D248)</f>
        <v>15</v>
      </c>
    </row>
    <row r="249" spans="1:5">
      <c r="A249" s="2" t="s">
        <v>276</v>
      </c>
      <c r="B249" s="2">
        <v>7</v>
      </c>
      <c r="C249" s="10">
        <v>28</v>
      </c>
      <c r="D249" s="2" t="s">
        <v>278</v>
      </c>
      <c r="E249" s="2">
        <f t="shared" si="8"/>
        <v>35.666666666666664</v>
      </c>
    </row>
    <row r="250" spans="1:5">
      <c r="A250" s="2" t="s">
        <v>278</v>
      </c>
      <c r="B250" s="2">
        <v>9</v>
      </c>
      <c r="C250" s="10">
        <v>49</v>
      </c>
      <c r="D250" s="2" t="s">
        <v>279</v>
      </c>
      <c r="E250" s="2">
        <f t="shared" si="8"/>
        <v>33</v>
      </c>
    </row>
    <row r="251" spans="1:5">
      <c r="A251" s="2" t="s">
        <v>278</v>
      </c>
      <c r="B251" s="2">
        <v>8</v>
      </c>
      <c r="C251" s="10">
        <v>32</v>
      </c>
      <c r="D251" s="2"/>
      <c r="E251" s="2"/>
    </row>
    <row r="252" spans="1:5">
      <c r="A252" s="2" t="s">
        <v>279</v>
      </c>
      <c r="B252" s="2">
        <v>34</v>
      </c>
      <c r="C252" s="10">
        <v>35</v>
      </c>
      <c r="D252" s="2"/>
      <c r="E252" s="2"/>
    </row>
    <row r="253" spans="1:5">
      <c r="A253" s="2" t="s">
        <v>276</v>
      </c>
      <c r="B253" s="2">
        <v>78</v>
      </c>
      <c r="C253" s="10">
        <v>40</v>
      </c>
      <c r="D253" s="2"/>
      <c r="E253" s="2"/>
    </row>
    <row r="254" spans="1:5">
      <c r="A254" s="2" t="s">
        <v>278</v>
      </c>
      <c r="B254" s="2">
        <v>90</v>
      </c>
      <c r="C254" s="10">
        <v>31</v>
      </c>
      <c r="D254" s="2"/>
      <c r="E254" s="2"/>
    </row>
    <row r="255" spans="1:5">
      <c r="A255" s="2" t="s">
        <v>276</v>
      </c>
      <c r="B255" s="2">
        <v>56</v>
      </c>
      <c r="C255" s="10">
        <v>40</v>
      </c>
      <c r="D255" s="2"/>
      <c r="E255" s="2"/>
    </row>
    <row r="256" spans="1:5">
      <c r="A256" s="2" t="s">
        <v>277</v>
      </c>
      <c r="B256" s="2">
        <v>34</v>
      </c>
      <c r="C256" s="10">
        <v>31</v>
      </c>
      <c r="D256" s="2"/>
      <c r="E256" s="2"/>
    </row>
    <row r="257" spans="1:6">
      <c r="A257" s="2" t="s">
        <v>277</v>
      </c>
      <c r="B257" s="2">
        <v>23</v>
      </c>
      <c r="C257" s="10">
        <v>40</v>
      </c>
      <c r="D257" s="2"/>
      <c r="E257" s="2"/>
    </row>
    <row r="258" spans="1:6">
      <c r="A258" s="2" t="s">
        <v>277</v>
      </c>
      <c r="B258" s="2">
        <v>10</v>
      </c>
      <c r="C258" s="10">
        <v>35</v>
      </c>
      <c r="D258" s="2"/>
      <c r="E258" s="2"/>
    </row>
    <row r="259" spans="1:6">
      <c r="A259" s="2" t="s">
        <v>277</v>
      </c>
      <c r="B259" s="2">
        <v>3</v>
      </c>
      <c r="C259" s="10">
        <v>40</v>
      </c>
      <c r="D259" s="2"/>
      <c r="E259" s="2"/>
    </row>
    <row r="260" spans="1:6">
      <c r="A260" s="2" t="s">
        <v>279</v>
      </c>
      <c r="B260" s="2">
        <v>9</v>
      </c>
      <c r="C260" s="10">
        <v>35</v>
      </c>
      <c r="D260" s="2"/>
      <c r="E260" s="2"/>
    </row>
    <row r="261" spans="1:6">
      <c r="A261" s="2" t="s">
        <v>279</v>
      </c>
      <c r="B261" s="2">
        <v>77</v>
      </c>
      <c r="C261" s="10">
        <v>40</v>
      </c>
      <c r="D261" s="2"/>
      <c r="E261" s="2"/>
    </row>
    <row r="262" spans="1:6">
      <c r="A262" s="2" t="s">
        <v>279</v>
      </c>
      <c r="B262" s="2">
        <v>12</v>
      </c>
      <c r="C262" s="10">
        <v>35</v>
      </c>
      <c r="D262" s="2"/>
      <c r="E262" s="2"/>
    </row>
    <row r="263" spans="1:6" ht="27" customHeight="1"/>
    <row r="264" spans="1:6">
      <c r="A264" s="1"/>
      <c r="B264" s="1"/>
      <c r="C264" s="14" t="s">
        <v>294</v>
      </c>
      <c r="D264" s="1"/>
      <c r="E264" s="1"/>
      <c r="F264" s="1"/>
    </row>
    <row r="265" spans="1:6">
      <c r="A265" s="2" t="s">
        <v>274</v>
      </c>
      <c r="B265" s="2" t="s">
        <v>292</v>
      </c>
      <c r="C265" s="2" t="s">
        <v>275</v>
      </c>
      <c r="D265" s="14" t="s">
        <v>290</v>
      </c>
      <c r="E265" s="2" t="s">
        <v>289</v>
      </c>
      <c r="F265" s="42" t="s">
        <v>293</v>
      </c>
    </row>
    <row r="266" spans="1:6">
      <c r="A266" s="43" t="s">
        <v>276</v>
      </c>
      <c r="B266" s="43">
        <v>4</v>
      </c>
      <c r="C266" s="44">
        <v>28</v>
      </c>
      <c r="D266" s="43">
        <f>VLOOKUP(A266,$E$266:$F$269,2,FALSE)</f>
        <v>20</v>
      </c>
      <c r="E266" s="45" t="s">
        <v>276</v>
      </c>
      <c r="F266" s="46">
        <v>20</v>
      </c>
    </row>
    <row r="267" spans="1:6">
      <c r="A267" s="2" t="s">
        <v>277</v>
      </c>
      <c r="B267" s="2">
        <v>5</v>
      </c>
      <c r="C267" s="40">
        <v>30</v>
      </c>
      <c r="D267" s="2">
        <f t="shared" ref="D267:D281" si="9">VLOOKUP(A267,$E$266:$F$269,2,FALSE)</f>
        <v>35</v>
      </c>
      <c r="E267" s="41" t="s">
        <v>277</v>
      </c>
      <c r="F267" s="10">
        <v>35</v>
      </c>
    </row>
    <row r="268" spans="1:6">
      <c r="A268" s="2" t="s">
        <v>276</v>
      </c>
      <c r="B268" s="2">
        <v>7</v>
      </c>
      <c r="C268" s="40">
        <v>28</v>
      </c>
      <c r="D268" s="2">
        <f t="shared" si="9"/>
        <v>20</v>
      </c>
      <c r="E268" s="41" t="s">
        <v>278</v>
      </c>
      <c r="F268" s="10">
        <v>50</v>
      </c>
    </row>
    <row r="269" spans="1:6">
      <c r="A269" s="2" t="s">
        <v>278</v>
      </c>
      <c r="B269" s="2">
        <v>9</v>
      </c>
      <c r="C269" s="40">
        <v>49</v>
      </c>
      <c r="D269" s="2">
        <f t="shared" si="9"/>
        <v>50</v>
      </c>
      <c r="E269" s="41" t="s">
        <v>279</v>
      </c>
      <c r="F269" s="10">
        <v>65</v>
      </c>
    </row>
    <row r="270" spans="1:6">
      <c r="A270" s="2" t="s">
        <v>278</v>
      </c>
      <c r="B270" s="2">
        <v>8</v>
      </c>
      <c r="C270" s="40">
        <v>32</v>
      </c>
      <c r="D270" s="2">
        <f t="shared" si="9"/>
        <v>50</v>
      </c>
      <c r="E270" s="41"/>
      <c r="F270" s="2"/>
    </row>
    <row r="271" spans="1:6">
      <c r="A271" s="2" t="s">
        <v>279</v>
      </c>
      <c r="B271" s="2">
        <v>34</v>
      </c>
      <c r="C271" s="40">
        <v>35</v>
      </c>
      <c r="D271" s="2">
        <f t="shared" si="9"/>
        <v>65</v>
      </c>
      <c r="E271" s="41"/>
      <c r="F271" s="2"/>
    </row>
    <row r="272" spans="1:6">
      <c r="A272" s="2" t="s">
        <v>276</v>
      </c>
      <c r="B272" s="2">
        <v>78</v>
      </c>
      <c r="C272" s="40">
        <v>40</v>
      </c>
      <c r="D272" s="2">
        <f t="shared" si="9"/>
        <v>20</v>
      </c>
      <c r="E272" s="41"/>
      <c r="F272" s="2"/>
    </row>
    <row r="273" spans="1:6">
      <c r="A273" s="2" t="s">
        <v>278</v>
      </c>
      <c r="B273" s="2">
        <v>90</v>
      </c>
      <c r="C273" s="40">
        <v>31</v>
      </c>
      <c r="D273" s="2">
        <f t="shared" si="9"/>
        <v>50</v>
      </c>
      <c r="E273" s="41"/>
      <c r="F273" s="2"/>
    </row>
    <row r="274" spans="1:6">
      <c r="A274" s="2" t="s">
        <v>276</v>
      </c>
      <c r="B274" s="2">
        <v>56</v>
      </c>
      <c r="C274" s="40">
        <v>40</v>
      </c>
      <c r="D274" s="2">
        <f t="shared" si="9"/>
        <v>20</v>
      </c>
      <c r="E274" s="41"/>
      <c r="F274" s="2"/>
    </row>
    <row r="275" spans="1:6">
      <c r="A275" s="2" t="s">
        <v>277</v>
      </c>
      <c r="B275" s="2">
        <v>34</v>
      </c>
      <c r="C275" s="40">
        <v>31</v>
      </c>
      <c r="D275" s="2">
        <f t="shared" si="9"/>
        <v>35</v>
      </c>
      <c r="E275" s="41"/>
      <c r="F275" s="2"/>
    </row>
    <row r="276" spans="1:6">
      <c r="A276" s="2" t="s">
        <v>277</v>
      </c>
      <c r="B276" s="2">
        <v>23</v>
      </c>
      <c r="C276" s="40">
        <v>40</v>
      </c>
      <c r="D276" s="2">
        <f t="shared" si="9"/>
        <v>35</v>
      </c>
      <c r="E276" s="41"/>
      <c r="F276" s="2"/>
    </row>
    <row r="277" spans="1:6">
      <c r="A277" s="2" t="s">
        <v>277</v>
      </c>
      <c r="B277" s="2">
        <v>10</v>
      </c>
      <c r="C277" s="40">
        <v>35</v>
      </c>
      <c r="D277" s="2">
        <f t="shared" si="9"/>
        <v>35</v>
      </c>
      <c r="E277" s="41"/>
      <c r="F277" s="2"/>
    </row>
    <row r="278" spans="1:6">
      <c r="A278" s="2" t="s">
        <v>277</v>
      </c>
      <c r="B278" s="2">
        <v>3</v>
      </c>
      <c r="C278" s="40">
        <v>40</v>
      </c>
      <c r="D278" s="2">
        <f t="shared" si="9"/>
        <v>35</v>
      </c>
      <c r="E278" s="41"/>
      <c r="F278" s="2"/>
    </row>
    <row r="279" spans="1:6">
      <c r="A279" s="2" t="s">
        <v>279</v>
      </c>
      <c r="B279" s="2">
        <v>9</v>
      </c>
      <c r="C279" s="40">
        <v>35</v>
      </c>
      <c r="D279" s="2">
        <f t="shared" si="9"/>
        <v>65</v>
      </c>
      <c r="E279" s="41"/>
      <c r="F279" s="2"/>
    </row>
    <row r="280" spans="1:6">
      <c r="A280" s="2" t="s">
        <v>279</v>
      </c>
      <c r="B280" s="2">
        <v>77</v>
      </c>
      <c r="C280" s="40">
        <v>40</v>
      </c>
      <c r="D280" s="2">
        <f t="shared" si="9"/>
        <v>65</v>
      </c>
      <c r="E280" s="41"/>
      <c r="F280" s="2"/>
    </row>
    <row r="281" spans="1:6">
      <c r="A281" s="2" t="s">
        <v>279</v>
      </c>
      <c r="B281" s="2">
        <v>12</v>
      </c>
      <c r="C281" s="40">
        <v>35</v>
      </c>
      <c r="D281" s="2">
        <f t="shared" si="9"/>
        <v>65</v>
      </c>
      <c r="E281" s="41"/>
      <c r="F281" s="2"/>
    </row>
    <row r="282" spans="1:6" ht="25.5" customHeight="1"/>
    <row r="283" spans="1:6">
      <c r="A283" s="1"/>
      <c r="B283" s="1"/>
      <c r="C283" s="47" t="s">
        <v>295</v>
      </c>
      <c r="D283" s="2"/>
      <c r="E283" s="2"/>
    </row>
    <row r="284" spans="1:6">
      <c r="A284" s="2" t="s">
        <v>274</v>
      </c>
      <c r="B284" s="2" t="s">
        <v>292</v>
      </c>
      <c r="C284" s="39" t="s">
        <v>275</v>
      </c>
      <c r="D284" s="3" t="s">
        <v>296</v>
      </c>
      <c r="E284" s="3" t="s">
        <v>297</v>
      </c>
    </row>
    <row r="285" spans="1:6">
      <c r="A285" s="43" t="s">
        <v>298</v>
      </c>
      <c r="B285" s="43">
        <v>4</v>
      </c>
      <c r="C285" s="44">
        <v>28</v>
      </c>
      <c r="D285" s="2">
        <f>IFERROR(FIND("Big",A285,1)," ")</f>
        <v>1</v>
      </c>
      <c r="E285" s="2" t="str">
        <f>IFERROR(SEARCH("Small",A285,1)," ")</f>
        <v xml:space="preserve"> </v>
      </c>
    </row>
    <row r="286" spans="1:6">
      <c r="A286" s="2" t="s">
        <v>299</v>
      </c>
      <c r="B286" s="2">
        <v>5</v>
      </c>
      <c r="C286" s="40">
        <v>30</v>
      </c>
      <c r="D286" s="2" t="str">
        <f t="shared" ref="D286:D300" si="10">IFERROR(FIND("Big",A286,1)," ")</f>
        <v xml:space="preserve"> </v>
      </c>
      <c r="E286" s="2" t="str">
        <f t="shared" ref="E286:E300" si="11">IFERROR(SEARCH("Small",A286,1)," ")</f>
        <v xml:space="preserve"> </v>
      </c>
    </row>
    <row r="287" spans="1:6">
      <c r="A287" s="2" t="s">
        <v>300</v>
      </c>
      <c r="B287" s="2">
        <v>7</v>
      </c>
      <c r="C287" s="40">
        <v>28</v>
      </c>
      <c r="D287" s="2" t="str">
        <f t="shared" si="10"/>
        <v xml:space="preserve"> </v>
      </c>
      <c r="E287" s="2">
        <f t="shared" si="11"/>
        <v>1</v>
      </c>
    </row>
    <row r="288" spans="1:6">
      <c r="A288" s="2" t="s">
        <v>301</v>
      </c>
      <c r="B288" s="2">
        <v>9</v>
      </c>
      <c r="C288" s="40">
        <v>49</v>
      </c>
      <c r="D288" s="2">
        <f t="shared" si="10"/>
        <v>1</v>
      </c>
      <c r="E288" s="2" t="str">
        <f t="shared" si="11"/>
        <v xml:space="preserve"> </v>
      </c>
    </row>
    <row r="289" spans="1:5">
      <c r="A289" s="2" t="s">
        <v>302</v>
      </c>
      <c r="B289" s="2">
        <v>8</v>
      </c>
      <c r="C289" s="40">
        <v>32</v>
      </c>
      <c r="D289" s="2" t="str">
        <f t="shared" si="10"/>
        <v xml:space="preserve"> </v>
      </c>
      <c r="E289" s="2">
        <f t="shared" si="11"/>
        <v>1</v>
      </c>
    </row>
    <row r="290" spans="1:5">
      <c r="A290" s="2" t="s">
        <v>303</v>
      </c>
      <c r="B290" s="2">
        <v>34</v>
      </c>
      <c r="C290" s="40">
        <v>35</v>
      </c>
      <c r="D290" s="2">
        <f t="shared" si="10"/>
        <v>1</v>
      </c>
      <c r="E290" s="2" t="str">
        <f t="shared" si="11"/>
        <v xml:space="preserve"> </v>
      </c>
    </row>
    <row r="291" spans="1:5">
      <c r="A291" s="2" t="s">
        <v>298</v>
      </c>
      <c r="B291" s="2">
        <v>78</v>
      </c>
      <c r="C291" s="40">
        <v>40</v>
      </c>
      <c r="D291" s="2">
        <f t="shared" si="10"/>
        <v>1</v>
      </c>
      <c r="E291" s="2" t="str">
        <f t="shared" si="11"/>
        <v xml:space="preserve"> </v>
      </c>
    </row>
    <row r="292" spans="1:5">
      <c r="A292" s="2" t="s">
        <v>302</v>
      </c>
      <c r="B292" s="2">
        <v>90</v>
      </c>
      <c r="C292" s="40">
        <v>31</v>
      </c>
      <c r="D292" s="2" t="str">
        <f t="shared" si="10"/>
        <v xml:space="preserve"> </v>
      </c>
      <c r="E292" s="2">
        <f t="shared" si="11"/>
        <v>1</v>
      </c>
    </row>
    <row r="293" spans="1:5">
      <c r="A293" s="2" t="s">
        <v>300</v>
      </c>
      <c r="B293" s="2">
        <v>56</v>
      </c>
      <c r="C293" s="40">
        <v>40</v>
      </c>
      <c r="D293" s="2" t="str">
        <f t="shared" si="10"/>
        <v xml:space="preserve"> </v>
      </c>
      <c r="E293" s="2">
        <f t="shared" si="11"/>
        <v>1</v>
      </c>
    </row>
    <row r="294" spans="1:5">
      <c r="A294" s="2" t="s">
        <v>299</v>
      </c>
      <c r="B294" s="2">
        <v>34</v>
      </c>
      <c r="C294" s="40">
        <v>31</v>
      </c>
      <c r="D294" s="2" t="str">
        <f t="shared" si="10"/>
        <v xml:space="preserve"> </v>
      </c>
      <c r="E294" s="2" t="str">
        <f t="shared" si="11"/>
        <v xml:space="preserve"> </v>
      </c>
    </row>
    <row r="295" spans="1:5">
      <c r="A295" s="2" t="s">
        <v>299</v>
      </c>
      <c r="B295" s="2">
        <v>23</v>
      </c>
      <c r="C295" s="40">
        <v>40</v>
      </c>
      <c r="D295" s="2" t="str">
        <f t="shared" si="10"/>
        <v xml:space="preserve"> </v>
      </c>
      <c r="E295" s="2" t="str">
        <f t="shared" si="11"/>
        <v xml:space="preserve"> </v>
      </c>
    </row>
    <row r="296" spans="1:5">
      <c r="A296" s="2" t="s">
        <v>304</v>
      </c>
      <c r="B296" s="2">
        <v>10</v>
      </c>
      <c r="C296" s="40">
        <v>35</v>
      </c>
      <c r="D296" s="2">
        <f t="shared" si="10"/>
        <v>2</v>
      </c>
      <c r="E296" s="2" t="str">
        <f t="shared" si="11"/>
        <v xml:space="preserve"> </v>
      </c>
    </row>
    <row r="297" spans="1:5">
      <c r="A297" s="2" t="s">
        <v>305</v>
      </c>
      <c r="B297" s="2">
        <v>3</v>
      </c>
      <c r="C297" s="40">
        <v>40</v>
      </c>
      <c r="D297" s="2" t="str">
        <f t="shared" si="10"/>
        <v xml:space="preserve"> </v>
      </c>
      <c r="E297" s="2">
        <f t="shared" si="11"/>
        <v>1</v>
      </c>
    </row>
    <row r="298" spans="1:5">
      <c r="A298" s="2" t="s">
        <v>306</v>
      </c>
      <c r="B298" s="2">
        <v>9</v>
      </c>
      <c r="C298" s="40">
        <v>35</v>
      </c>
      <c r="D298" s="2" t="str">
        <f t="shared" si="10"/>
        <v xml:space="preserve"> </v>
      </c>
      <c r="E298" s="2" t="str">
        <f t="shared" si="11"/>
        <v xml:space="preserve"> </v>
      </c>
    </row>
    <row r="299" spans="1:5">
      <c r="A299" s="2" t="s">
        <v>307</v>
      </c>
      <c r="B299" s="2">
        <v>77</v>
      </c>
      <c r="C299" s="40">
        <v>40</v>
      </c>
      <c r="D299" s="2" t="str">
        <f t="shared" si="10"/>
        <v xml:space="preserve"> </v>
      </c>
      <c r="E299" s="2">
        <f t="shared" si="11"/>
        <v>1</v>
      </c>
    </row>
    <row r="300" spans="1:5">
      <c r="A300" s="2" t="s">
        <v>303</v>
      </c>
      <c r="B300" s="2">
        <v>12</v>
      </c>
      <c r="C300" s="40">
        <v>35</v>
      </c>
      <c r="D300" s="2">
        <f t="shared" si="10"/>
        <v>1</v>
      </c>
      <c r="E300" s="2" t="str">
        <f t="shared" si="11"/>
        <v xml:space="preserve"> </v>
      </c>
    </row>
    <row r="301" spans="1:5" ht="27.75" customHeight="1"/>
    <row r="302" spans="1:5">
      <c r="A302" s="1"/>
      <c r="B302" s="1"/>
      <c r="C302" s="47" t="s">
        <v>295</v>
      </c>
      <c r="D302" s="2"/>
      <c r="E302" s="2"/>
    </row>
    <row r="303" spans="1:5">
      <c r="A303" s="2" t="s">
        <v>274</v>
      </c>
      <c r="B303" s="2" t="s">
        <v>292</v>
      </c>
      <c r="C303" s="39" t="s">
        <v>275</v>
      </c>
      <c r="D303" s="3" t="s">
        <v>296</v>
      </c>
      <c r="E303" s="3" t="s">
        <v>297</v>
      </c>
    </row>
    <row r="304" spans="1:5">
      <c r="A304" s="43" t="s">
        <v>298</v>
      </c>
      <c r="B304" s="43">
        <v>4</v>
      </c>
      <c r="C304" s="44">
        <v>28</v>
      </c>
      <c r="D304" s="2">
        <f>FIND("Big",A304,1)</f>
        <v>1</v>
      </c>
      <c r="E304" s="2" t="e">
        <f>SEARCH("Small",A304,1)</f>
        <v>#VALUE!</v>
      </c>
    </row>
    <row r="305" spans="1:5">
      <c r="A305" s="2" t="s">
        <v>299</v>
      </c>
      <c r="B305" s="2">
        <v>5</v>
      </c>
      <c r="C305" s="40">
        <v>30</v>
      </c>
      <c r="D305" s="2" t="e">
        <f t="shared" ref="D305:D319" si="12">FIND("Big",A305,1)</f>
        <v>#VALUE!</v>
      </c>
      <c r="E305" s="2" t="e">
        <f t="shared" ref="E305:E319" si="13">SEARCH("Small",A305,1)</f>
        <v>#VALUE!</v>
      </c>
    </row>
    <row r="306" spans="1:5">
      <c r="A306" s="2" t="s">
        <v>300</v>
      </c>
      <c r="B306" s="2">
        <v>7</v>
      </c>
      <c r="C306" s="40">
        <v>28</v>
      </c>
      <c r="D306" s="2" t="e">
        <f t="shared" si="12"/>
        <v>#VALUE!</v>
      </c>
      <c r="E306" s="2">
        <f t="shared" si="13"/>
        <v>1</v>
      </c>
    </row>
    <row r="307" spans="1:5">
      <c r="A307" s="2" t="s">
        <v>301</v>
      </c>
      <c r="B307" s="2">
        <v>9</v>
      </c>
      <c r="C307" s="40">
        <v>49</v>
      </c>
      <c r="D307" s="2">
        <f t="shared" si="12"/>
        <v>1</v>
      </c>
      <c r="E307" s="2" t="e">
        <f t="shared" si="13"/>
        <v>#VALUE!</v>
      </c>
    </row>
    <row r="308" spans="1:5">
      <c r="A308" s="2" t="s">
        <v>302</v>
      </c>
      <c r="B308" s="2">
        <v>8</v>
      </c>
      <c r="C308" s="40">
        <v>32</v>
      </c>
      <c r="D308" s="2" t="e">
        <f t="shared" si="12"/>
        <v>#VALUE!</v>
      </c>
      <c r="E308" s="2">
        <f t="shared" si="13"/>
        <v>1</v>
      </c>
    </row>
    <row r="309" spans="1:5">
      <c r="A309" s="2" t="s">
        <v>303</v>
      </c>
      <c r="B309" s="2">
        <v>34</v>
      </c>
      <c r="C309" s="40">
        <v>35</v>
      </c>
      <c r="D309" s="2">
        <f t="shared" si="12"/>
        <v>1</v>
      </c>
      <c r="E309" s="2" t="e">
        <f t="shared" si="13"/>
        <v>#VALUE!</v>
      </c>
    </row>
    <row r="310" spans="1:5">
      <c r="A310" s="2" t="s">
        <v>298</v>
      </c>
      <c r="B310" s="2">
        <v>78</v>
      </c>
      <c r="C310" s="40">
        <v>40</v>
      </c>
      <c r="D310" s="2">
        <f t="shared" si="12"/>
        <v>1</v>
      </c>
      <c r="E310" s="2" t="e">
        <f t="shared" si="13"/>
        <v>#VALUE!</v>
      </c>
    </row>
    <row r="311" spans="1:5">
      <c r="A311" s="2" t="s">
        <v>302</v>
      </c>
      <c r="B311" s="2">
        <v>90</v>
      </c>
      <c r="C311" s="40">
        <v>31</v>
      </c>
      <c r="D311" s="2" t="e">
        <f t="shared" si="12"/>
        <v>#VALUE!</v>
      </c>
      <c r="E311" s="2">
        <f t="shared" si="13"/>
        <v>1</v>
      </c>
    </row>
    <row r="312" spans="1:5">
      <c r="A312" s="2" t="s">
        <v>300</v>
      </c>
      <c r="B312" s="2">
        <v>56</v>
      </c>
      <c r="C312" s="40">
        <v>40</v>
      </c>
      <c r="D312" s="2" t="e">
        <f t="shared" si="12"/>
        <v>#VALUE!</v>
      </c>
      <c r="E312" s="2">
        <f t="shared" si="13"/>
        <v>1</v>
      </c>
    </row>
    <row r="313" spans="1:5">
      <c r="A313" s="2" t="s">
        <v>299</v>
      </c>
      <c r="B313" s="2">
        <v>34</v>
      </c>
      <c r="C313" s="40">
        <v>31</v>
      </c>
      <c r="D313" s="2" t="e">
        <f t="shared" si="12"/>
        <v>#VALUE!</v>
      </c>
      <c r="E313" s="2" t="e">
        <f t="shared" si="13"/>
        <v>#VALUE!</v>
      </c>
    </row>
    <row r="314" spans="1:5">
      <c r="A314" s="2" t="s">
        <v>299</v>
      </c>
      <c r="B314" s="2">
        <v>23</v>
      </c>
      <c r="C314" s="40">
        <v>40</v>
      </c>
      <c r="D314" s="2" t="e">
        <f t="shared" si="12"/>
        <v>#VALUE!</v>
      </c>
      <c r="E314" s="2" t="e">
        <f t="shared" si="13"/>
        <v>#VALUE!</v>
      </c>
    </row>
    <row r="315" spans="1:5">
      <c r="A315" s="2" t="s">
        <v>304</v>
      </c>
      <c r="B315" s="2">
        <v>10</v>
      </c>
      <c r="C315" s="40">
        <v>35</v>
      </c>
      <c r="D315" s="2">
        <f t="shared" si="12"/>
        <v>2</v>
      </c>
      <c r="E315" s="2" t="e">
        <f t="shared" si="13"/>
        <v>#VALUE!</v>
      </c>
    </row>
    <row r="316" spans="1:5">
      <c r="A316" s="2" t="s">
        <v>305</v>
      </c>
      <c r="B316" s="2">
        <v>3</v>
      </c>
      <c r="C316" s="40">
        <v>40</v>
      </c>
      <c r="D316" s="2" t="e">
        <f t="shared" si="12"/>
        <v>#VALUE!</v>
      </c>
      <c r="E316" s="2">
        <f t="shared" si="13"/>
        <v>1</v>
      </c>
    </row>
    <row r="317" spans="1:5">
      <c r="A317" s="2" t="s">
        <v>306</v>
      </c>
      <c r="B317" s="2">
        <v>9</v>
      </c>
      <c r="C317" s="40">
        <v>35</v>
      </c>
      <c r="D317" s="2" t="e">
        <f t="shared" si="12"/>
        <v>#VALUE!</v>
      </c>
      <c r="E317" s="2" t="e">
        <f t="shared" si="13"/>
        <v>#VALUE!</v>
      </c>
    </row>
    <row r="318" spans="1:5">
      <c r="A318" s="2" t="s">
        <v>307</v>
      </c>
      <c r="B318" s="2">
        <v>77</v>
      </c>
      <c r="C318" s="40">
        <v>40</v>
      </c>
      <c r="D318" s="2" t="e">
        <f t="shared" si="12"/>
        <v>#VALUE!</v>
      </c>
      <c r="E318" s="2">
        <f t="shared" si="13"/>
        <v>1</v>
      </c>
    </row>
    <row r="319" spans="1:5">
      <c r="A319" s="2" t="s">
        <v>303</v>
      </c>
      <c r="B319" s="2">
        <v>12</v>
      </c>
      <c r="C319" s="40">
        <v>35</v>
      </c>
      <c r="D319" s="2">
        <f t="shared" si="12"/>
        <v>1</v>
      </c>
      <c r="E319" s="2" t="e">
        <f t="shared" si="13"/>
        <v>#VALUE!</v>
      </c>
    </row>
    <row r="320" spans="1:5" ht="32.25" customHeight="1"/>
    <row r="321" spans="1:4">
      <c r="A321" s="2"/>
      <c r="B321" s="2"/>
      <c r="C321" s="14" t="s">
        <v>308</v>
      </c>
      <c r="D321" s="2"/>
    </row>
    <row r="322" spans="1:4">
      <c r="A322" s="2" t="s">
        <v>274</v>
      </c>
      <c r="B322" s="2" t="s">
        <v>275</v>
      </c>
      <c r="C322" s="2" t="s">
        <v>289</v>
      </c>
      <c r="D322" s="14" t="s">
        <v>309</v>
      </c>
    </row>
    <row r="323" spans="1:4">
      <c r="A323" s="43" t="s">
        <v>298</v>
      </c>
      <c r="B323" s="10">
        <v>28</v>
      </c>
      <c r="C323" s="2" t="s">
        <v>298</v>
      </c>
      <c r="D323" s="2">
        <f>COUNTIFS($A$323:$A$338,C323)</f>
        <v>2</v>
      </c>
    </row>
    <row r="324" spans="1:4">
      <c r="A324" s="2" t="s">
        <v>299</v>
      </c>
      <c r="B324" s="10">
        <v>30</v>
      </c>
      <c r="C324" s="2" t="s">
        <v>299</v>
      </c>
      <c r="D324" s="2">
        <f t="shared" ref="D324:D329" si="14">COUNTIFS($A$323:$A$338,C324)</f>
        <v>3</v>
      </c>
    </row>
    <row r="325" spans="1:4">
      <c r="A325" s="2" t="s">
        <v>300</v>
      </c>
      <c r="B325" s="10">
        <v>28</v>
      </c>
      <c r="C325" s="2" t="s">
        <v>300</v>
      </c>
      <c r="D325" s="2">
        <f t="shared" si="14"/>
        <v>2</v>
      </c>
    </row>
    <row r="326" spans="1:4">
      <c r="A326" s="2" t="s">
        <v>301</v>
      </c>
      <c r="B326" s="10">
        <v>49</v>
      </c>
      <c r="C326" s="2" t="s">
        <v>310</v>
      </c>
      <c r="D326" s="2">
        <f t="shared" si="14"/>
        <v>1</v>
      </c>
    </row>
    <row r="327" spans="1:4">
      <c r="A327" s="2" t="s">
        <v>302</v>
      </c>
      <c r="B327" s="10">
        <v>32</v>
      </c>
      <c r="C327" s="2" t="s">
        <v>302</v>
      </c>
      <c r="D327" s="2">
        <f t="shared" si="14"/>
        <v>2</v>
      </c>
    </row>
    <row r="328" spans="1:4">
      <c r="A328" s="2" t="s">
        <v>303</v>
      </c>
      <c r="B328" s="10">
        <v>35</v>
      </c>
      <c r="C328" s="2" t="s">
        <v>311</v>
      </c>
      <c r="D328" s="2">
        <f>COUNTIFS($A$323:$A$338,C328)</f>
        <v>3</v>
      </c>
    </row>
    <row r="329" spans="1:4">
      <c r="A329" s="2" t="s">
        <v>298</v>
      </c>
      <c r="B329" s="10">
        <v>40</v>
      </c>
      <c r="C329" s="2" t="s">
        <v>298</v>
      </c>
      <c r="D329" s="2">
        <f t="shared" si="14"/>
        <v>2</v>
      </c>
    </row>
    <row r="330" spans="1:4">
      <c r="A330" s="2" t="s">
        <v>302</v>
      </c>
      <c r="B330" s="10">
        <v>31</v>
      </c>
      <c r="C330" s="2"/>
      <c r="D330" s="2"/>
    </row>
    <row r="331" spans="1:4">
      <c r="A331" s="2" t="s">
        <v>300</v>
      </c>
      <c r="B331" s="10">
        <v>40</v>
      </c>
      <c r="C331" s="2"/>
      <c r="D331" s="2"/>
    </row>
    <row r="332" spans="1:4">
      <c r="A332" s="2" t="s">
        <v>299</v>
      </c>
      <c r="B332" s="10">
        <v>31</v>
      </c>
      <c r="C332" s="2"/>
      <c r="D332" s="2"/>
    </row>
    <row r="333" spans="1:4">
      <c r="A333" s="2" t="s">
        <v>299</v>
      </c>
      <c r="B333" s="10">
        <v>40</v>
      </c>
      <c r="C333" s="2"/>
      <c r="D333" s="2"/>
    </row>
    <row r="334" spans="1:4">
      <c r="A334" s="2" t="s">
        <v>304</v>
      </c>
      <c r="B334" s="10">
        <v>35</v>
      </c>
      <c r="C334" s="2"/>
      <c r="D334" s="2"/>
    </row>
    <row r="335" spans="1:4">
      <c r="A335" s="2" t="s">
        <v>305</v>
      </c>
      <c r="B335" s="10">
        <v>40</v>
      </c>
      <c r="C335" s="2"/>
      <c r="D335" s="2"/>
    </row>
    <row r="336" spans="1:4">
      <c r="A336" s="2" t="s">
        <v>306</v>
      </c>
      <c r="B336" s="10">
        <v>35</v>
      </c>
      <c r="C336" s="2"/>
      <c r="D336" s="2"/>
    </row>
    <row r="337" spans="1:4">
      <c r="A337" s="2" t="s">
        <v>307</v>
      </c>
      <c r="B337" s="10">
        <v>40</v>
      </c>
      <c r="C337" s="2"/>
      <c r="D337" s="2"/>
    </row>
    <row r="338" spans="1:4">
      <c r="A338" s="2" t="s">
        <v>303</v>
      </c>
      <c r="B338" s="10">
        <v>35</v>
      </c>
      <c r="C338" s="2"/>
      <c r="D338" s="2"/>
    </row>
    <row r="339" spans="1:4" ht="30" customHeight="1"/>
    <row r="340" spans="1:4">
      <c r="A340" s="2"/>
      <c r="B340" s="14" t="s">
        <v>312</v>
      </c>
      <c r="C340" s="2"/>
      <c r="D340" s="2"/>
    </row>
    <row r="341" spans="1:4">
      <c r="A341" s="2" t="s">
        <v>313</v>
      </c>
      <c r="B341" s="2" t="s">
        <v>55</v>
      </c>
      <c r="C341" s="3" t="s">
        <v>314</v>
      </c>
      <c r="D341" s="3" t="s">
        <v>315</v>
      </c>
    </row>
    <row r="342" spans="1:4">
      <c r="A342" s="2" t="s">
        <v>316</v>
      </c>
      <c r="B342" s="2" t="s">
        <v>70</v>
      </c>
      <c r="C342" s="2" t="str">
        <f>LEFT(A342,3)</f>
        <v>999</v>
      </c>
      <c r="D342" s="2" t="str">
        <f>RIGHT(A342,4)</f>
        <v>5555</v>
      </c>
    </row>
    <row r="343" spans="1:4">
      <c r="A343" s="2" t="s">
        <v>317</v>
      </c>
      <c r="B343" s="2" t="s">
        <v>70</v>
      </c>
      <c r="C343" s="2" t="str">
        <f t="shared" ref="C343:C345" si="15">LEFT(A343,3)</f>
        <v>123</v>
      </c>
      <c r="D343" s="2" t="str">
        <f t="shared" ref="D343:D345" si="16">RIGHT(A343,4)</f>
        <v>8678</v>
      </c>
    </row>
    <row r="344" spans="1:4">
      <c r="A344" s="2" t="s">
        <v>318</v>
      </c>
      <c r="B344" s="2" t="s">
        <v>70</v>
      </c>
      <c r="C344" s="2" t="str">
        <f t="shared" si="15"/>
        <v>345</v>
      </c>
      <c r="D344" s="2" t="str">
        <f t="shared" si="16"/>
        <v>7654</v>
      </c>
    </row>
    <row r="345" spans="1:4">
      <c r="A345" s="2" t="s">
        <v>319</v>
      </c>
      <c r="B345" s="2" t="s">
        <v>70</v>
      </c>
      <c r="C345" s="2" t="str">
        <f t="shared" si="15"/>
        <v>145</v>
      </c>
      <c r="D345" s="2" t="str">
        <f t="shared" si="16"/>
        <v>6754</v>
      </c>
    </row>
    <row r="346" spans="1:4" ht="31.5" customHeight="1"/>
    <row r="347" spans="1:4">
      <c r="A347" s="2"/>
      <c r="B347" s="14" t="s">
        <v>320</v>
      </c>
      <c r="C347" s="2"/>
    </row>
    <row r="348" spans="1:4">
      <c r="A348" s="2" t="s">
        <v>321</v>
      </c>
      <c r="B348" s="2" t="s">
        <v>322</v>
      </c>
      <c r="C348" s="3" t="s">
        <v>213</v>
      </c>
    </row>
    <row r="349" spans="1:4">
      <c r="A349" s="2" t="s">
        <v>323</v>
      </c>
      <c r="B349" s="2">
        <v>19</v>
      </c>
      <c r="C349" s="2">
        <f>RANK(B349,$B$349:$B$355,0)</f>
        <v>6</v>
      </c>
    </row>
    <row r="350" spans="1:4">
      <c r="A350" s="2" t="s">
        <v>324</v>
      </c>
      <c r="B350" s="2">
        <v>27</v>
      </c>
      <c r="C350" s="2">
        <f t="shared" ref="C350:C354" si="17">RANK(B350,$B$349:$B$355,0)</f>
        <v>4</v>
      </c>
    </row>
    <row r="351" spans="1:4">
      <c r="A351" s="2" t="s">
        <v>325</v>
      </c>
      <c r="B351" s="2">
        <v>23</v>
      </c>
      <c r="C351" s="2">
        <f t="shared" si="17"/>
        <v>5</v>
      </c>
    </row>
    <row r="352" spans="1:4">
      <c r="A352" s="2" t="s">
        <v>326</v>
      </c>
      <c r="B352" s="2">
        <v>45</v>
      </c>
      <c r="C352" s="2">
        <f t="shared" si="17"/>
        <v>1</v>
      </c>
    </row>
    <row r="353" spans="1:3">
      <c r="A353" s="2" t="s">
        <v>327</v>
      </c>
      <c r="B353" s="2">
        <v>32</v>
      </c>
      <c r="C353" s="2">
        <f t="shared" si="17"/>
        <v>2</v>
      </c>
    </row>
    <row r="354" spans="1:3">
      <c r="A354" s="2" t="s">
        <v>328</v>
      </c>
      <c r="B354" s="2">
        <v>28</v>
      </c>
      <c r="C354" s="2">
        <f t="shared" si="17"/>
        <v>3</v>
      </c>
    </row>
    <row r="355" spans="1:3" ht="28.5" customHeight="1"/>
    <row r="356" spans="1:3">
      <c r="A356" s="14" t="s">
        <v>329</v>
      </c>
      <c r="B356" s="1"/>
    </row>
    <row r="357" spans="1:3">
      <c r="A357" s="43" t="s">
        <v>274</v>
      </c>
      <c r="B357" s="43" t="s">
        <v>275</v>
      </c>
    </row>
    <row r="358" spans="1:3">
      <c r="A358" s="2" t="s">
        <v>276</v>
      </c>
      <c r="B358" s="10">
        <v>28</v>
      </c>
    </row>
    <row r="359" spans="1:3">
      <c r="A359" s="2" t="s">
        <v>277</v>
      </c>
      <c r="B359" s="10">
        <v>30</v>
      </c>
    </row>
    <row r="360" spans="1:3">
      <c r="A360" s="2" t="s">
        <v>276</v>
      </c>
      <c r="B360" s="10">
        <v>28</v>
      </c>
    </row>
    <row r="361" spans="1:3">
      <c r="A361" s="2" t="s">
        <v>278</v>
      </c>
      <c r="B361" s="10">
        <v>49</v>
      </c>
    </row>
    <row r="362" spans="1:3">
      <c r="A362" s="2" t="s">
        <v>278</v>
      </c>
      <c r="B362" s="10">
        <v>32</v>
      </c>
    </row>
    <row r="363" spans="1:3">
      <c r="A363" s="2" t="s">
        <v>279</v>
      </c>
      <c r="B363" s="10">
        <v>35</v>
      </c>
    </row>
    <row r="364" spans="1:3">
      <c r="A364" s="2" t="s">
        <v>276</v>
      </c>
      <c r="B364" s="10">
        <v>40</v>
      </c>
    </row>
    <row r="365" spans="1:3">
      <c r="A365" s="2" t="s">
        <v>278</v>
      </c>
      <c r="B365" s="10">
        <v>31</v>
      </c>
    </row>
    <row r="366" spans="1:3">
      <c r="A366" s="2" t="s">
        <v>276</v>
      </c>
      <c r="B366" s="10">
        <v>40</v>
      </c>
    </row>
    <row r="367" spans="1:3">
      <c r="A367" s="2" t="s">
        <v>277</v>
      </c>
      <c r="B367" s="10">
        <v>31</v>
      </c>
    </row>
    <row r="368" spans="1:3">
      <c r="A368" s="2" t="s">
        <v>277</v>
      </c>
      <c r="B368" s="10">
        <v>40</v>
      </c>
    </row>
    <row r="369" spans="1:2">
      <c r="A369" s="2" t="s">
        <v>277</v>
      </c>
      <c r="B369" s="10">
        <v>35</v>
      </c>
    </row>
    <row r="370" spans="1:2">
      <c r="A370" s="2" t="s">
        <v>277</v>
      </c>
      <c r="B370" s="10">
        <v>40</v>
      </c>
    </row>
    <row r="371" spans="1:2">
      <c r="A371" s="2" t="s">
        <v>279</v>
      </c>
      <c r="B371" s="10">
        <v>35</v>
      </c>
    </row>
    <row r="372" spans="1:2">
      <c r="A372" s="2" t="s">
        <v>279</v>
      </c>
      <c r="B372" s="10">
        <v>40</v>
      </c>
    </row>
    <row r="373" spans="1:2">
      <c r="A373" s="48" t="s">
        <v>279</v>
      </c>
      <c r="B373" s="49">
        <v>35</v>
      </c>
    </row>
    <row r="374" spans="1:2">
      <c r="A374" s="3" t="s">
        <v>330</v>
      </c>
      <c r="B374" s="50">
        <f>MIN(B358:B373)</f>
        <v>28</v>
      </c>
    </row>
    <row r="375" spans="1:2" ht="29.25" customHeight="1"/>
    <row r="376" spans="1:2">
      <c r="A376" s="14" t="s">
        <v>331</v>
      </c>
      <c r="B376" s="1"/>
    </row>
    <row r="377" spans="1:2">
      <c r="A377" s="43" t="s">
        <v>274</v>
      </c>
      <c r="B377" s="43" t="s">
        <v>275</v>
      </c>
    </row>
    <row r="378" spans="1:2">
      <c r="A378" s="2" t="s">
        <v>276</v>
      </c>
      <c r="B378" s="10">
        <v>28</v>
      </c>
    </row>
    <row r="379" spans="1:2">
      <c r="A379" s="2" t="s">
        <v>277</v>
      </c>
      <c r="B379" s="10">
        <v>30</v>
      </c>
    </row>
    <row r="380" spans="1:2">
      <c r="A380" s="2" t="s">
        <v>276</v>
      </c>
      <c r="B380" s="10">
        <v>28</v>
      </c>
    </row>
    <row r="381" spans="1:2">
      <c r="A381" s="2" t="s">
        <v>278</v>
      </c>
      <c r="B381" s="10">
        <v>49</v>
      </c>
    </row>
    <row r="382" spans="1:2">
      <c r="A382" s="2" t="s">
        <v>278</v>
      </c>
      <c r="B382" s="10">
        <v>32</v>
      </c>
    </row>
    <row r="383" spans="1:2">
      <c r="A383" s="2" t="s">
        <v>279</v>
      </c>
      <c r="B383" s="10">
        <v>35</v>
      </c>
    </row>
    <row r="384" spans="1:2">
      <c r="A384" s="2" t="s">
        <v>276</v>
      </c>
      <c r="B384" s="10">
        <v>40</v>
      </c>
    </row>
    <row r="385" spans="1:3">
      <c r="A385" s="2" t="s">
        <v>278</v>
      </c>
      <c r="B385" s="10">
        <v>31</v>
      </c>
    </row>
    <row r="386" spans="1:3">
      <c r="A386" s="2" t="s">
        <v>276</v>
      </c>
      <c r="B386" s="10">
        <v>40</v>
      </c>
    </row>
    <row r="387" spans="1:3">
      <c r="A387" s="2" t="s">
        <v>277</v>
      </c>
      <c r="B387" s="10">
        <v>31</v>
      </c>
    </row>
    <row r="388" spans="1:3">
      <c r="A388" s="2" t="s">
        <v>277</v>
      </c>
      <c r="B388" s="10">
        <v>40</v>
      </c>
    </row>
    <row r="389" spans="1:3">
      <c r="A389" s="2" t="s">
        <v>277</v>
      </c>
      <c r="B389" s="10">
        <v>35</v>
      </c>
    </row>
    <row r="390" spans="1:3">
      <c r="A390" s="2" t="s">
        <v>277</v>
      </c>
      <c r="B390" s="10">
        <v>40</v>
      </c>
    </row>
    <row r="391" spans="1:3">
      <c r="A391" s="2" t="s">
        <v>279</v>
      </c>
      <c r="B391" s="10">
        <v>35</v>
      </c>
    </row>
    <row r="392" spans="1:3">
      <c r="A392" s="2" t="s">
        <v>279</v>
      </c>
      <c r="B392" s="10">
        <v>40</v>
      </c>
    </row>
    <row r="393" spans="1:3">
      <c r="A393" s="48" t="s">
        <v>279</v>
      </c>
      <c r="B393" s="49">
        <v>35</v>
      </c>
    </row>
    <row r="394" spans="1:3">
      <c r="A394" s="3" t="s">
        <v>332</v>
      </c>
      <c r="B394" s="50">
        <f>MAX(B378:B393)</f>
        <v>49</v>
      </c>
    </row>
    <row r="395" spans="1:3" ht="30" customHeight="1"/>
    <row r="396" spans="1:3">
      <c r="A396" s="1"/>
      <c r="B396" s="14" t="s">
        <v>333</v>
      </c>
      <c r="C396" s="14"/>
    </row>
    <row r="397" spans="1:3">
      <c r="A397" s="2" t="s">
        <v>274</v>
      </c>
      <c r="B397" s="2" t="s">
        <v>292</v>
      </c>
      <c r="C397" s="2" t="s">
        <v>275</v>
      </c>
    </row>
    <row r="398" spans="1:3">
      <c r="A398" s="43" t="s">
        <v>276</v>
      </c>
      <c r="B398" s="43">
        <v>4</v>
      </c>
      <c r="C398" s="44">
        <v>28</v>
      </c>
    </row>
    <row r="399" spans="1:3">
      <c r="A399" s="2" t="s">
        <v>277</v>
      </c>
      <c r="B399" s="2">
        <v>5</v>
      </c>
      <c r="C399" s="40">
        <v>30</v>
      </c>
    </row>
    <row r="400" spans="1:3">
      <c r="A400" s="2" t="s">
        <v>276</v>
      </c>
      <c r="B400" s="2">
        <v>7</v>
      </c>
      <c r="C400" s="40">
        <v>28</v>
      </c>
    </row>
    <row r="401" spans="1:3">
      <c r="A401" s="2" t="s">
        <v>278</v>
      </c>
      <c r="B401" s="2">
        <v>9</v>
      </c>
      <c r="C401" s="40">
        <v>49</v>
      </c>
    </row>
    <row r="402" spans="1:3">
      <c r="A402" s="2" t="s">
        <v>278</v>
      </c>
      <c r="B402" s="2">
        <v>8</v>
      </c>
      <c r="C402" s="40">
        <v>32</v>
      </c>
    </row>
    <row r="403" spans="1:3">
      <c r="A403" s="2" t="s">
        <v>279</v>
      </c>
      <c r="B403" s="2">
        <v>34</v>
      </c>
      <c r="C403" s="40">
        <v>35</v>
      </c>
    </row>
    <row r="404" spans="1:3">
      <c r="A404" s="2" t="s">
        <v>276</v>
      </c>
      <c r="B404" s="2">
        <v>78</v>
      </c>
      <c r="C404" s="40">
        <v>40</v>
      </c>
    </row>
    <row r="405" spans="1:3">
      <c r="A405" s="2" t="s">
        <v>278</v>
      </c>
      <c r="B405" s="2">
        <v>90</v>
      </c>
      <c r="C405" s="40">
        <v>31</v>
      </c>
    </row>
    <row r="406" spans="1:3">
      <c r="A406" s="2" t="s">
        <v>276</v>
      </c>
      <c r="B406" s="2">
        <v>56</v>
      </c>
      <c r="C406" s="40">
        <v>40</v>
      </c>
    </row>
    <row r="407" spans="1:3">
      <c r="A407" s="2" t="s">
        <v>277</v>
      </c>
      <c r="B407" s="2">
        <v>34</v>
      </c>
      <c r="C407" s="40">
        <v>35</v>
      </c>
    </row>
    <row r="408" spans="1:3">
      <c r="A408" s="2" t="s">
        <v>277</v>
      </c>
      <c r="B408" s="2">
        <v>23</v>
      </c>
      <c r="C408" s="40">
        <v>40</v>
      </c>
    </row>
    <row r="409" spans="1:3">
      <c r="A409" s="2" t="s">
        <v>277</v>
      </c>
      <c r="B409" s="2">
        <v>10</v>
      </c>
      <c r="C409" s="40">
        <v>35</v>
      </c>
    </row>
    <row r="410" spans="1:3">
      <c r="A410" s="2" t="s">
        <v>277</v>
      </c>
      <c r="B410" s="2">
        <v>3</v>
      </c>
      <c r="C410" s="40">
        <v>40</v>
      </c>
    </row>
    <row r="411" spans="1:3">
      <c r="A411" s="2" t="s">
        <v>279</v>
      </c>
      <c r="B411" s="2">
        <v>9</v>
      </c>
      <c r="C411" s="40">
        <v>35</v>
      </c>
    </row>
    <row r="412" spans="1:3">
      <c r="A412" s="2" t="s">
        <v>279</v>
      </c>
      <c r="B412" s="2">
        <v>77</v>
      </c>
      <c r="C412" s="40">
        <v>40</v>
      </c>
    </row>
    <row r="413" spans="1:3">
      <c r="A413" s="48" t="s">
        <v>279</v>
      </c>
      <c r="B413" s="48">
        <v>12</v>
      </c>
      <c r="C413" s="51">
        <v>35</v>
      </c>
    </row>
    <row r="414" spans="1:3">
      <c r="A414" s="3" t="s">
        <v>53</v>
      </c>
      <c r="B414" s="3">
        <f>SUM(B398:B413)</f>
        <v>459</v>
      </c>
      <c r="C414" s="50">
        <f>SUM(C398:C413)</f>
        <v>573</v>
      </c>
    </row>
    <row r="415" spans="1:3">
      <c r="A415" s="3" t="s">
        <v>334</v>
      </c>
      <c r="B415" s="50">
        <f>SUMPRODUCT(C398:C413,B398:B413)/SUM(B398:B413)</f>
        <v>36.79738562091503</v>
      </c>
      <c r="C415" s="3"/>
    </row>
    <row r="416" spans="1:3" ht="27" customHeight="1"/>
    <row r="417" spans="1:3">
      <c r="A417" s="2"/>
      <c r="B417" s="14" t="s">
        <v>335</v>
      </c>
      <c r="C417" s="2"/>
    </row>
    <row r="418" spans="1:3">
      <c r="A418" s="2" t="s">
        <v>336</v>
      </c>
      <c r="B418" s="2" t="s">
        <v>335</v>
      </c>
      <c r="C418" s="14" t="s">
        <v>337</v>
      </c>
    </row>
    <row r="419" spans="1:3">
      <c r="A419" s="2" t="s">
        <v>338</v>
      </c>
      <c r="B419" s="2">
        <v>29632</v>
      </c>
      <c r="C419" s="52">
        <v>29632</v>
      </c>
    </row>
    <row r="420" spans="1:3">
      <c r="A420" s="2" t="s">
        <v>339</v>
      </c>
      <c r="B420" s="2" t="s">
        <v>340</v>
      </c>
      <c r="C420" s="2">
        <f ca="1">DATEDIF($B$419,TODAY(),"y")</f>
        <v>44</v>
      </c>
    </row>
    <row r="421" spans="1:3">
      <c r="A421" s="2" t="s">
        <v>341</v>
      </c>
      <c r="B421" s="2" t="s">
        <v>342</v>
      </c>
      <c r="C421" s="2">
        <f ca="1">DATEDIF($B$419,TODAY(),"ym")</f>
        <v>5</v>
      </c>
    </row>
    <row r="422" spans="1:3">
      <c r="A422" s="2" t="s">
        <v>343</v>
      </c>
      <c r="B422" s="2" t="s">
        <v>344</v>
      </c>
      <c r="C422" s="2">
        <f ca="1">DATEDIF($B$419,TODAY(),"md")</f>
        <v>18</v>
      </c>
    </row>
    <row r="423" spans="1:3" ht="29.25">
      <c r="A423" s="2" t="s">
        <v>345</v>
      </c>
      <c r="B423" s="53" t="s">
        <v>346</v>
      </c>
      <c r="C423" s="2" t="str">
        <f ca="1">CONCATENATE("Age is ",C420, " years ", C421," Months ", C422," Days")</f>
        <v>Age is 44 years 5 Months 18 Days</v>
      </c>
    </row>
    <row r="424" spans="1:3" ht="29.25" customHeight="1"/>
    <row r="425" spans="1:3">
      <c r="A425" s="2"/>
      <c r="B425" s="14" t="s">
        <v>347</v>
      </c>
      <c r="C425" s="2"/>
    </row>
    <row r="426" spans="1:3">
      <c r="A426" s="2" t="s">
        <v>136</v>
      </c>
      <c r="B426" s="2" t="s">
        <v>348</v>
      </c>
      <c r="C426" s="17" t="s">
        <v>349</v>
      </c>
    </row>
    <row r="427" spans="1:3">
      <c r="A427" s="2" t="s">
        <v>350</v>
      </c>
      <c r="B427" s="2" t="s">
        <v>351</v>
      </c>
      <c r="C427" s="2" t="e">
        <f>DATEVALUE(A427)</f>
        <v>#VALUE!</v>
      </c>
    </row>
    <row r="428" spans="1:3">
      <c r="A428" s="2" t="s">
        <v>352</v>
      </c>
      <c r="B428" s="2" t="s">
        <v>353</v>
      </c>
      <c r="C428" s="2" t="e">
        <f t="shared" ref="C428:C429" si="18">DATEVALUE(A428)</f>
        <v>#VALUE!</v>
      </c>
    </row>
    <row r="429" spans="1:3">
      <c r="A429" s="2" t="s">
        <v>352</v>
      </c>
      <c r="B429" s="2" t="s">
        <v>354</v>
      </c>
      <c r="C429" s="2" t="e">
        <f t="shared" si="18"/>
        <v>#VALUE!</v>
      </c>
    </row>
    <row r="430" spans="1:3" ht="24.75" customHeight="1"/>
    <row r="431" spans="1:3">
      <c r="A431" s="2"/>
      <c r="B431" s="14" t="s">
        <v>355</v>
      </c>
      <c r="C431" s="2"/>
    </row>
    <row r="432" spans="1:3">
      <c r="A432" s="2" t="s">
        <v>136</v>
      </c>
      <c r="B432" s="2" t="s">
        <v>170</v>
      </c>
      <c r="C432" s="3" t="s">
        <v>337</v>
      </c>
    </row>
    <row r="433" spans="1:4">
      <c r="A433" s="2">
        <v>42363</v>
      </c>
      <c r="B433" s="2" t="s">
        <v>356</v>
      </c>
      <c r="C433" s="2">
        <f>DAY(A433)</f>
        <v>25</v>
      </c>
    </row>
    <row r="434" spans="1:4">
      <c r="A434" s="18">
        <v>42468</v>
      </c>
      <c r="B434" s="2" t="s">
        <v>357</v>
      </c>
      <c r="C434" s="2">
        <f t="shared" ref="C434:C435" si="19">DAY(A434)</f>
        <v>8</v>
      </c>
    </row>
    <row r="435" spans="1:4">
      <c r="A435" s="18">
        <v>44255</v>
      </c>
      <c r="B435" s="2" t="s">
        <v>358</v>
      </c>
      <c r="C435" s="2">
        <f t="shared" si="19"/>
        <v>28</v>
      </c>
    </row>
    <row r="436" spans="1:4" ht="30.75" customHeight="1"/>
    <row r="437" spans="1:4">
      <c r="A437" s="2"/>
      <c r="B437" s="3" t="s">
        <v>359</v>
      </c>
      <c r="C437" s="2"/>
      <c r="D437" s="2"/>
    </row>
    <row r="438" spans="1:4">
      <c r="A438" s="2" t="s">
        <v>360</v>
      </c>
      <c r="B438" s="2" t="s">
        <v>361</v>
      </c>
      <c r="C438" s="3" t="s">
        <v>261</v>
      </c>
      <c r="D438" s="3" t="s">
        <v>362</v>
      </c>
    </row>
    <row r="439" spans="1:4">
      <c r="A439" s="54">
        <v>42370</v>
      </c>
      <c r="B439" s="55">
        <v>42374</v>
      </c>
      <c r="C439" s="2">
        <f>DAYS360(A439,B439,FALSE)</f>
        <v>4</v>
      </c>
      <c r="D439" s="2">
        <f>DAYS360(A439,B439,TRUE)</f>
        <v>4</v>
      </c>
    </row>
    <row r="440" spans="1:4">
      <c r="A440" s="54">
        <v>42370</v>
      </c>
      <c r="B440" s="55">
        <v>42374</v>
      </c>
      <c r="C440" s="2">
        <f t="shared" ref="C440:C447" si="20">DAYS360(A440,B440,FALSE)</f>
        <v>4</v>
      </c>
      <c r="D440" s="2">
        <f t="shared" ref="D440:D447" si="21">DAYS360(A440,B440,TRUE)</f>
        <v>4</v>
      </c>
    </row>
    <row r="441" spans="1:4">
      <c r="A441" s="54">
        <v>42374</v>
      </c>
      <c r="B441" s="55">
        <v>42370</v>
      </c>
      <c r="C441" s="2">
        <f t="shared" si="20"/>
        <v>-4</v>
      </c>
      <c r="D441" s="2">
        <f t="shared" si="21"/>
        <v>-4</v>
      </c>
    </row>
    <row r="442" spans="1:4">
      <c r="A442" s="54">
        <v>42370</v>
      </c>
      <c r="B442" s="55">
        <v>42401</v>
      </c>
      <c r="C442" s="2">
        <f t="shared" si="20"/>
        <v>30</v>
      </c>
      <c r="D442" s="2">
        <f t="shared" si="21"/>
        <v>30</v>
      </c>
    </row>
    <row r="443" spans="1:4">
      <c r="A443" s="54">
        <v>42370</v>
      </c>
      <c r="B443" s="55">
        <v>42401</v>
      </c>
      <c r="C443" s="2">
        <f t="shared" si="20"/>
        <v>30</v>
      </c>
      <c r="D443" s="2">
        <f t="shared" si="21"/>
        <v>30</v>
      </c>
    </row>
    <row r="444" spans="1:4">
      <c r="A444" s="54">
        <v>42370</v>
      </c>
      <c r="B444" s="55">
        <v>42460</v>
      </c>
      <c r="C444" s="2">
        <f t="shared" si="20"/>
        <v>90</v>
      </c>
      <c r="D444" s="2">
        <f t="shared" si="21"/>
        <v>89</v>
      </c>
    </row>
    <row r="445" spans="1:4">
      <c r="A445" s="54">
        <v>42370</v>
      </c>
      <c r="B445" s="55">
        <v>42460</v>
      </c>
      <c r="C445" s="2">
        <f t="shared" si="20"/>
        <v>90</v>
      </c>
      <c r="D445" s="2">
        <f t="shared" si="21"/>
        <v>89</v>
      </c>
    </row>
    <row r="446" spans="1:4">
      <c r="A446" s="54">
        <v>42095</v>
      </c>
      <c r="B446" s="55">
        <v>42460</v>
      </c>
      <c r="C446" s="2">
        <f t="shared" si="20"/>
        <v>360</v>
      </c>
      <c r="D446" s="2">
        <f t="shared" si="21"/>
        <v>359</v>
      </c>
    </row>
    <row r="447" spans="1:4">
      <c r="A447" s="54">
        <v>42095</v>
      </c>
      <c r="B447" s="55">
        <v>42460</v>
      </c>
      <c r="C447" s="2">
        <f t="shared" si="20"/>
        <v>360</v>
      </c>
      <c r="D447" s="2">
        <f t="shared" si="21"/>
        <v>359</v>
      </c>
    </row>
    <row r="448" spans="1:4" ht="29.25" customHeight="1"/>
    <row r="449" spans="1:3">
      <c r="A449" s="2"/>
      <c r="B449" s="14" t="s">
        <v>363</v>
      </c>
      <c r="C449" s="2"/>
    </row>
    <row r="450" spans="1:3">
      <c r="A450" s="2" t="s">
        <v>360</v>
      </c>
      <c r="B450" s="2" t="s">
        <v>341</v>
      </c>
      <c r="C450" s="3" t="s">
        <v>213</v>
      </c>
    </row>
    <row r="451" spans="1:3">
      <c r="A451" s="55">
        <v>42370</v>
      </c>
      <c r="B451" s="2">
        <v>3</v>
      </c>
      <c r="C451" s="54">
        <f>EDATE(A451,B451)</f>
        <v>42461</v>
      </c>
    </row>
    <row r="452" spans="1:3">
      <c r="A452" s="55">
        <v>42371</v>
      </c>
      <c r="B452" s="2">
        <v>6</v>
      </c>
      <c r="C452" s="54">
        <f t="shared" ref="C452:C453" si="22">EDATE(A452,B452)</f>
        <v>42553</v>
      </c>
    </row>
    <row r="453" spans="1:3">
      <c r="A453" s="55">
        <v>42371</v>
      </c>
      <c r="B453" s="2">
        <v>-3</v>
      </c>
      <c r="C453" s="54">
        <f t="shared" si="22"/>
        <v>42279</v>
      </c>
    </row>
    <row r="454" spans="1:3" ht="33.75" customHeight="1"/>
    <row r="455" spans="1:3">
      <c r="A455" s="2"/>
      <c r="B455" s="3" t="s">
        <v>364</v>
      </c>
      <c r="C455" s="2"/>
    </row>
    <row r="456" spans="1:3">
      <c r="A456" s="2" t="s">
        <v>360</v>
      </c>
      <c r="B456" s="2" t="s">
        <v>341</v>
      </c>
      <c r="C456" s="3" t="s">
        <v>213</v>
      </c>
    </row>
    <row r="457" spans="1:3">
      <c r="A457" s="55">
        <v>42370</v>
      </c>
      <c r="B457" s="2">
        <v>2</v>
      </c>
      <c r="C457" s="54">
        <f>EOMONTH(A457,B457)</f>
        <v>42460</v>
      </c>
    </row>
    <row r="458" spans="1:3">
      <c r="A458" s="55">
        <v>42463</v>
      </c>
      <c r="B458" s="2">
        <v>2</v>
      </c>
      <c r="C458" s="54">
        <f t="shared" ref="C458:C459" si="23">EOMONTH(A458,B458)</f>
        <v>42551</v>
      </c>
    </row>
    <row r="459" spans="1:3">
      <c r="A459" s="55">
        <v>42370</v>
      </c>
      <c r="B459" s="2">
        <v>-2</v>
      </c>
      <c r="C459" s="54">
        <f t="shared" si="23"/>
        <v>42338</v>
      </c>
    </row>
    <row r="460" spans="1:3" ht="30.75" customHeight="1"/>
    <row r="461" spans="1:3">
      <c r="A461" s="3" t="s">
        <v>365</v>
      </c>
      <c r="B461" s="2"/>
    </row>
    <row r="462" spans="1:3">
      <c r="A462" s="2" t="s">
        <v>366</v>
      </c>
      <c r="B462" s="3" t="s">
        <v>213</v>
      </c>
    </row>
    <row r="463" spans="1:3">
      <c r="A463" s="56">
        <v>0.88541666666666663</v>
      </c>
      <c r="B463" s="2">
        <f>HOUR(A463)</f>
        <v>21</v>
      </c>
    </row>
    <row r="464" spans="1:3">
      <c r="A464" s="2">
        <v>0.25</v>
      </c>
      <c r="B464" s="2">
        <f t="shared" ref="B464:B465" si="24">HOUR(A464)</f>
        <v>6</v>
      </c>
    </row>
    <row r="465" spans="1:3">
      <c r="A465" s="2">
        <v>0.5</v>
      </c>
      <c r="B465" s="2">
        <f t="shared" si="24"/>
        <v>12</v>
      </c>
    </row>
    <row r="466" spans="1:3" ht="32.25" customHeight="1"/>
    <row r="467" spans="1:3">
      <c r="A467" s="3" t="s">
        <v>367</v>
      </c>
      <c r="B467" s="2"/>
    </row>
    <row r="468" spans="1:3">
      <c r="A468" s="2" t="s">
        <v>366</v>
      </c>
      <c r="B468" s="3" t="s">
        <v>213</v>
      </c>
    </row>
    <row r="469" spans="1:3">
      <c r="A469" s="56">
        <v>0.88541666666666663</v>
      </c>
      <c r="B469" s="2">
        <f>MINUTE(A469)</f>
        <v>15</v>
      </c>
    </row>
    <row r="470" spans="1:3">
      <c r="A470" s="2">
        <v>0.78125</v>
      </c>
      <c r="B470" s="2">
        <f t="shared" ref="B470:B473" si="25">MINUTE(A470)</f>
        <v>45</v>
      </c>
    </row>
    <row r="471" spans="1:3">
      <c r="A471" s="2">
        <v>0.52500000000000002</v>
      </c>
      <c r="B471" s="2">
        <f t="shared" si="25"/>
        <v>36</v>
      </c>
    </row>
    <row r="472" spans="1:3">
      <c r="A472" s="57">
        <v>0.67708333333333337</v>
      </c>
      <c r="B472" s="2">
        <f t="shared" si="25"/>
        <v>15</v>
      </c>
    </row>
    <row r="473" spans="1:3">
      <c r="A473" s="57">
        <v>0.7055555555555556</v>
      </c>
      <c r="B473" s="2">
        <f t="shared" si="25"/>
        <v>56</v>
      </c>
    </row>
    <row r="474" spans="1:3" ht="31.5" customHeight="1"/>
    <row r="475" spans="1:3">
      <c r="A475" s="3" t="s">
        <v>368</v>
      </c>
      <c r="B475" s="2"/>
    </row>
    <row r="476" spans="1:3">
      <c r="A476" s="2" t="s">
        <v>136</v>
      </c>
      <c r="B476" s="3" t="s">
        <v>213</v>
      </c>
    </row>
    <row r="477" spans="1:3">
      <c r="A477" s="55">
        <v>42370</v>
      </c>
      <c r="B477" s="2">
        <f>MONTH(A477)</f>
        <v>1</v>
      </c>
    </row>
    <row r="478" spans="1:3">
      <c r="A478" s="55">
        <v>42644</v>
      </c>
      <c r="B478" s="2">
        <f>MONTH(A478)</f>
        <v>10</v>
      </c>
    </row>
    <row r="479" spans="1:3" ht="25.5" customHeight="1"/>
    <row r="480" spans="1:3">
      <c r="A480" s="2"/>
      <c r="B480" s="3" t="s">
        <v>369</v>
      </c>
      <c r="C480" s="2"/>
    </row>
    <row r="481" spans="1:6">
      <c r="A481" s="2" t="s">
        <v>360</v>
      </c>
      <c r="B481" s="2" t="s">
        <v>361</v>
      </c>
      <c r="C481" s="3" t="s">
        <v>213</v>
      </c>
    </row>
    <row r="482" spans="1:6">
      <c r="A482" s="55">
        <v>42430</v>
      </c>
      <c r="B482" s="55">
        <v>42436</v>
      </c>
      <c r="C482" s="2">
        <f>NETWORKDAYS(A482,B482)</f>
        <v>5</v>
      </c>
    </row>
    <row r="483" spans="1:6">
      <c r="A483" s="55">
        <v>42119</v>
      </c>
      <c r="B483" s="55">
        <v>42216</v>
      </c>
      <c r="C483" s="2">
        <f t="shared" ref="C483:C485" si="26">NETWORKDAYS(A483,B483)</f>
        <v>70</v>
      </c>
    </row>
    <row r="484" spans="1:6">
      <c r="A484" s="55">
        <v>42353</v>
      </c>
      <c r="B484" s="55">
        <v>42370</v>
      </c>
      <c r="C484" s="2">
        <f t="shared" si="26"/>
        <v>14</v>
      </c>
    </row>
    <row r="485" spans="1:6">
      <c r="A485" s="2" t="s">
        <v>370</v>
      </c>
      <c r="B485" s="55">
        <v>42370</v>
      </c>
      <c r="C485" s="2" t="e">
        <f t="shared" si="26"/>
        <v>#VALUE!</v>
      </c>
    </row>
    <row r="486" spans="1:6" ht="30" customHeight="1"/>
    <row r="487" spans="1:6">
      <c r="A487" s="2"/>
      <c r="B487" s="2"/>
      <c r="C487" s="3" t="s">
        <v>371</v>
      </c>
      <c r="D487" s="2"/>
      <c r="E487" s="2"/>
      <c r="F487" s="2"/>
    </row>
    <row r="488" spans="1:6">
      <c r="A488" s="2" t="s">
        <v>360</v>
      </c>
      <c r="B488" s="2" t="s">
        <v>361</v>
      </c>
      <c r="C488" s="2" t="s">
        <v>372</v>
      </c>
      <c r="D488" s="2" t="s">
        <v>373</v>
      </c>
      <c r="E488" s="2" t="s">
        <v>373</v>
      </c>
      <c r="F488" s="3" t="s">
        <v>374</v>
      </c>
    </row>
    <row r="489" spans="1:6">
      <c r="A489" s="18">
        <v>42370</v>
      </c>
      <c r="B489" s="18">
        <v>42460</v>
      </c>
      <c r="C489" s="2">
        <v>1</v>
      </c>
      <c r="D489" s="2"/>
      <c r="E489" s="2"/>
      <c r="F489" s="2">
        <f>NETWORKDAYS.INTL(A489,B489,1)</f>
        <v>65</v>
      </c>
    </row>
    <row r="490" spans="1:6">
      <c r="A490" s="18">
        <v>42460</v>
      </c>
      <c r="B490" s="18">
        <v>42370</v>
      </c>
      <c r="C490" s="2">
        <v>1</v>
      </c>
      <c r="D490" s="2"/>
      <c r="E490" s="2"/>
      <c r="F490" s="2">
        <f t="shared" ref="F490:F492" si="27">NETWORKDAYS.INTL(A490,B490,1)</f>
        <v>-65</v>
      </c>
    </row>
    <row r="491" spans="1:6">
      <c r="A491" s="18">
        <v>42370</v>
      </c>
      <c r="B491" s="18">
        <v>42460</v>
      </c>
      <c r="C491" s="2">
        <v>11</v>
      </c>
      <c r="D491" s="2"/>
      <c r="E491" s="2"/>
      <c r="F491" s="2">
        <f>NETWORKDAYS.INTL(A491,B491,11)</f>
        <v>78</v>
      </c>
    </row>
    <row r="492" spans="1:6">
      <c r="A492" s="18">
        <v>42370</v>
      </c>
      <c r="B492" s="18">
        <v>42460</v>
      </c>
      <c r="C492" s="2">
        <v>11</v>
      </c>
      <c r="D492" s="18">
        <v>42384</v>
      </c>
      <c r="E492" s="18">
        <v>42385</v>
      </c>
      <c r="F492" s="2">
        <f>NETWORKDAYS.INTL(A492,B492,11,D492:E492)</f>
        <v>76</v>
      </c>
    </row>
    <row r="493" spans="1:6" ht="31.5" customHeight="1"/>
    <row r="494" spans="1:6">
      <c r="A494" s="3" t="s">
        <v>375</v>
      </c>
      <c r="B494" s="2"/>
    </row>
    <row r="495" spans="1:6">
      <c r="A495" s="2" t="s">
        <v>366</v>
      </c>
      <c r="B495" s="3" t="s">
        <v>213</v>
      </c>
    </row>
    <row r="496" spans="1:6">
      <c r="A496" s="58">
        <v>44255.435416666667</v>
      </c>
      <c r="B496" s="2">
        <f>SECOND(A496)</f>
        <v>0</v>
      </c>
    </row>
    <row r="497" spans="1:4">
      <c r="A497" s="57">
        <v>0.5</v>
      </c>
      <c r="B497" s="2">
        <f t="shared" ref="B497:B500" si="28">SECOND(A497)</f>
        <v>0</v>
      </c>
    </row>
    <row r="498" spans="1:4">
      <c r="A498" s="2">
        <v>0.5</v>
      </c>
      <c r="B498" s="2">
        <f t="shared" si="28"/>
        <v>0</v>
      </c>
    </row>
    <row r="499" spans="1:4">
      <c r="A499" s="2">
        <v>0.51</v>
      </c>
      <c r="B499" s="2">
        <f t="shared" si="28"/>
        <v>24</v>
      </c>
    </row>
    <row r="500" spans="1:4">
      <c r="A500" s="2">
        <v>2.5099999999999998</v>
      </c>
      <c r="B500" s="2">
        <f t="shared" si="28"/>
        <v>24</v>
      </c>
    </row>
    <row r="501" spans="1:4" ht="29.25" customHeight="1"/>
    <row r="502" spans="1:4">
      <c r="A502" s="2"/>
      <c r="B502" s="3" t="s">
        <v>376</v>
      </c>
      <c r="C502" s="2"/>
      <c r="D502" s="2"/>
    </row>
    <row r="503" spans="1:4">
      <c r="A503" s="2" t="s">
        <v>377</v>
      </c>
      <c r="B503" s="2" t="s">
        <v>378</v>
      </c>
      <c r="C503" s="2" t="s">
        <v>379</v>
      </c>
      <c r="D503" s="3" t="s">
        <v>213</v>
      </c>
    </row>
    <row r="504" spans="1:4">
      <c r="A504" s="2">
        <v>14</v>
      </c>
      <c r="B504" s="2">
        <v>30</v>
      </c>
      <c r="C504" s="2">
        <v>59</v>
      </c>
      <c r="D504" s="59">
        <f>TIME(A504,B504,C504)</f>
        <v>0.60484953703703703</v>
      </c>
    </row>
    <row r="505" spans="1:4">
      <c r="A505" s="2">
        <v>14</v>
      </c>
      <c r="B505" s="2">
        <v>30</v>
      </c>
      <c r="C505" s="2">
        <v>59</v>
      </c>
      <c r="D505" s="59">
        <f t="shared" ref="D505:D510" si="29">TIME(A505,B505,C505)</f>
        <v>0.60484953703703703</v>
      </c>
    </row>
    <row r="506" spans="1:4">
      <c r="A506" s="2">
        <v>14</v>
      </c>
      <c r="B506" s="2">
        <v>30</v>
      </c>
      <c r="C506" s="2">
        <v>59</v>
      </c>
      <c r="D506" s="59">
        <f t="shared" si="29"/>
        <v>0.60484953703703703</v>
      </c>
    </row>
    <row r="507" spans="1:4">
      <c r="A507" s="2">
        <v>25</v>
      </c>
      <c r="B507" s="2">
        <v>5</v>
      </c>
      <c r="C507" s="2">
        <v>0</v>
      </c>
      <c r="D507" s="59">
        <f t="shared" si="29"/>
        <v>4.513888888888884E-2</v>
      </c>
    </row>
    <row r="508" spans="1:4">
      <c r="A508" s="2">
        <v>25</v>
      </c>
      <c r="B508" s="2">
        <v>5</v>
      </c>
      <c r="C508" s="2"/>
      <c r="D508" s="59">
        <f t="shared" si="29"/>
        <v>4.513888888888884E-2</v>
      </c>
    </row>
    <row r="509" spans="1:4">
      <c r="A509" s="2">
        <v>25</v>
      </c>
      <c r="B509" s="2">
        <v>-5</v>
      </c>
      <c r="C509" s="2"/>
      <c r="D509" s="59">
        <f t="shared" si="29"/>
        <v>3.819444444444442E-2</v>
      </c>
    </row>
    <row r="510" spans="1:4">
      <c r="A510" s="2">
        <v>-25</v>
      </c>
      <c r="B510" s="2">
        <v>-5</v>
      </c>
      <c r="C510" s="2"/>
      <c r="D510" s="59" t="e">
        <f t="shared" si="29"/>
        <v>#NUM!</v>
      </c>
    </row>
    <row r="511" spans="1:4">
      <c r="A511" s="2">
        <v>-25</v>
      </c>
      <c r="B511" s="2" t="s">
        <v>380</v>
      </c>
      <c r="C511" s="2"/>
      <c r="D511" s="59" t="e">
        <f>TIME(A511,B511,C511)</f>
        <v>#VALUE!</v>
      </c>
    </row>
    <row r="512" spans="1:4" ht="30" customHeight="1"/>
    <row r="513" spans="1:3">
      <c r="A513" s="2"/>
      <c r="B513" s="3" t="s">
        <v>381</v>
      </c>
      <c r="C513" s="2"/>
    </row>
    <row r="514" spans="1:3">
      <c r="A514" s="2" t="s">
        <v>382</v>
      </c>
      <c r="B514" s="3" t="s">
        <v>261</v>
      </c>
      <c r="C514" s="3" t="s">
        <v>362</v>
      </c>
    </row>
    <row r="515" spans="1:3">
      <c r="A515" s="60">
        <v>0.60484953703703703</v>
      </c>
      <c r="B515" s="2" t="e">
        <f>TIMEVALUE(A515)</f>
        <v>#VALUE!</v>
      </c>
      <c r="C515" s="61">
        <f>TIMEVALUE("14:30:59")</f>
        <v>0.60484953703703703</v>
      </c>
    </row>
    <row r="516" spans="1:3">
      <c r="A516" s="60">
        <v>0.60484953703703703</v>
      </c>
      <c r="B516" s="2" t="e">
        <f t="shared" ref="B516:B517" si="30">TIMEVALUE(A516)</f>
        <v>#VALUE!</v>
      </c>
      <c r="C516" s="61">
        <f t="shared" ref="C516:C517" si="31">TIMEVALUE("14:30:59")</f>
        <v>0.60484953703703703</v>
      </c>
    </row>
    <row r="517" spans="1:3">
      <c r="A517" s="60">
        <v>0.60484953703703703</v>
      </c>
      <c r="B517" s="2" t="e">
        <f t="shared" si="30"/>
        <v>#VALUE!</v>
      </c>
      <c r="C517" s="61">
        <f t="shared" si="31"/>
        <v>0.60484953703703703</v>
      </c>
    </row>
    <row r="518" spans="1:3" ht="30.75" customHeight="1"/>
    <row r="519" spans="1:3">
      <c r="A519" s="3" t="s">
        <v>383</v>
      </c>
      <c r="B519" s="2"/>
    </row>
    <row r="520" spans="1:3">
      <c r="A520" s="2" t="s">
        <v>136</v>
      </c>
      <c r="B520" s="3" t="s">
        <v>213</v>
      </c>
    </row>
    <row r="521" spans="1:3">
      <c r="A521" s="55">
        <v>42370</v>
      </c>
      <c r="B521" s="2">
        <f>WEEKDAY(A521)</f>
        <v>6</v>
      </c>
    </row>
    <row r="522" spans="1:3">
      <c r="A522" s="55">
        <v>42370</v>
      </c>
      <c r="B522" s="2">
        <f t="shared" ref="B522:B525" si="32">WEEKDAY(A522)</f>
        <v>6</v>
      </c>
    </row>
    <row r="523" spans="1:3">
      <c r="A523" s="55">
        <v>42370</v>
      </c>
      <c r="B523" s="2">
        <f t="shared" si="32"/>
        <v>6</v>
      </c>
    </row>
    <row r="524" spans="1:3">
      <c r="A524" s="55">
        <v>42370</v>
      </c>
      <c r="B524" s="2">
        <f>WEEKDAY(A524,2)</f>
        <v>5</v>
      </c>
    </row>
    <row r="525" spans="1:3">
      <c r="A525" s="55">
        <v>42370</v>
      </c>
      <c r="B525" s="2">
        <f>WEEKDAY(A525,3)</f>
        <v>4</v>
      </c>
    </row>
    <row r="526" spans="1:3" ht="30.75" customHeight="1"/>
    <row r="527" spans="1:3">
      <c r="A527" s="5"/>
      <c r="B527" s="3" t="s">
        <v>384</v>
      </c>
      <c r="C527" s="5"/>
    </row>
    <row r="528" spans="1:3">
      <c r="A528" s="5" t="s">
        <v>136</v>
      </c>
      <c r="B528" s="5" t="s">
        <v>385</v>
      </c>
      <c r="C528" s="3" t="s">
        <v>337</v>
      </c>
    </row>
    <row r="529" spans="1:6">
      <c r="A529" s="20">
        <v>42370</v>
      </c>
      <c r="B529" s="5">
        <v>1</v>
      </c>
      <c r="C529" s="5">
        <f>WEEKNUM(A529,2)</f>
        <v>1</v>
      </c>
    </row>
    <row r="530" spans="1:6">
      <c r="A530" s="20">
        <v>42522</v>
      </c>
      <c r="B530" s="5">
        <v>1</v>
      </c>
      <c r="C530" s="5">
        <f t="shared" ref="C530:C532" si="33">WEEKNUM(A530,2)</f>
        <v>23</v>
      </c>
    </row>
    <row r="531" spans="1:6">
      <c r="A531" s="20">
        <v>42522</v>
      </c>
      <c r="B531" s="5">
        <v>21</v>
      </c>
      <c r="C531" s="5">
        <f>WEEKNUM(A531,1)</f>
        <v>23</v>
      </c>
    </row>
    <row r="532" spans="1:6">
      <c r="A532" s="20">
        <v>42675</v>
      </c>
      <c r="B532" s="5">
        <v>21</v>
      </c>
      <c r="C532" s="5">
        <f t="shared" si="33"/>
        <v>45</v>
      </c>
    </row>
    <row r="533" spans="1:6" ht="31.5" customHeight="1"/>
    <row r="534" spans="1:6">
      <c r="A534" s="2"/>
      <c r="B534" s="3" t="s">
        <v>386</v>
      </c>
      <c r="C534" s="2"/>
    </row>
    <row r="535" spans="1:6">
      <c r="A535" s="2" t="s">
        <v>360</v>
      </c>
      <c r="B535" s="2" t="s">
        <v>343</v>
      </c>
      <c r="C535" s="3" t="s">
        <v>213</v>
      </c>
    </row>
    <row r="536" spans="1:6">
      <c r="A536" s="55">
        <v>42370</v>
      </c>
      <c r="B536" s="2">
        <v>55</v>
      </c>
      <c r="C536" s="2">
        <f>WORKDAY(A536,B536)</f>
        <v>42447</v>
      </c>
    </row>
    <row r="537" spans="1:6">
      <c r="A537" s="55">
        <v>42370</v>
      </c>
      <c r="B537" s="2">
        <v>55</v>
      </c>
      <c r="C537" s="2">
        <f>WORKDAY(A537,B537)</f>
        <v>42447</v>
      </c>
    </row>
    <row r="538" spans="1:6" ht="33.75" customHeight="1"/>
    <row r="539" spans="1:6">
      <c r="A539" s="2"/>
      <c r="B539" s="2"/>
      <c r="C539" s="3" t="s">
        <v>387</v>
      </c>
      <c r="D539" s="2"/>
      <c r="E539" s="2"/>
      <c r="F539" s="2"/>
    </row>
    <row r="540" spans="1:6">
      <c r="A540" s="2" t="s">
        <v>360</v>
      </c>
      <c r="B540" s="2" t="s">
        <v>388</v>
      </c>
      <c r="C540" s="2" t="s">
        <v>372</v>
      </c>
      <c r="D540" s="2" t="s">
        <v>373</v>
      </c>
      <c r="E540" s="2" t="s">
        <v>373</v>
      </c>
      <c r="F540" s="3" t="s">
        <v>213</v>
      </c>
    </row>
    <row r="541" spans="1:6">
      <c r="A541" s="18">
        <v>42370</v>
      </c>
      <c r="B541" s="37">
        <v>65</v>
      </c>
      <c r="C541" s="2">
        <v>1</v>
      </c>
      <c r="D541" s="2"/>
      <c r="E541" s="2"/>
      <c r="F541" s="52">
        <f>WORKDAY.INTL(A541,B541,1)</f>
        <v>42461</v>
      </c>
    </row>
    <row r="542" spans="1:6">
      <c r="A542" s="18">
        <v>42373</v>
      </c>
      <c r="B542" s="37">
        <v>-65</v>
      </c>
      <c r="C542" s="2">
        <v>1</v>
      </c>
      <c r="D542" s="2"/>
      <c r="E542" s="2"/>
      <c r="F542" s="52">
        <f t="shared" ref="F542:F544" si="34">WORKDAY.INTL(A542,B542,1)</f>
        <v>42282</v>
      </c>
    </row>
    <row r="543" spans="1:6">
      <c r="A543" s="18">
        <v>42370</v>
      </c>
      <c r="B543" s="37">
        <v>78</v>
      </c>
      <c r="C543" s="2">
        <v>11</v>
      </c>
      <c r="D543" s="2"/>
      <c r="E543" s="2"/>
      <c r="F543" s="52">
        <f t="shared" si="34"/>
        <v>42480</v>
      </c>
    </row>
    <row r="544" spans="1:6">
      <c r="A544" s="18">
        <v>42370</v>
      </c>
      <c r="B544" s="37">
        <v>76</v>
      </c>
      <c r="C544" s="2">
        <v>11</v>
      </c>
      <c r="D544" s="18">
        <v>42384</v>
      </c>
      <c r="E544" s="18">
        <v>42385</v>
      </c>
      <c r="F544" s="52">
        <f t="shared" si="34"/>
        <v>42478</v>
      </c>
    </row>
    <row r="545" spans="1:3" ht="34.5" customHeight="1"/>
    <row r="546" spans="1:3">
      <c r="A546" s="3" t="s">
        <v>389</v>
      </c>
      <c r="B546" s="2"/>
    </row>
    <row r="547" spans="1:3">
      <c r="A547" s="2" t="s">
        <v>136</v>
      </c>
      <c r="B547" s="3" t="s">
        <v>213</v>
      </c>
    </row>
    <row r="548" spans="1:3">
      <c r="A548" s="18">
        <v>43101</v>
      </c>
      <c r="B548" s="2">
        <f>YEAR(A548)</f>
        <v>2018</v>
      </c>
    </row>
    <row r="549" spans="1:3">
      <c r="A549" s="18">
        <v>43468</v>
      </c>
      <c r="B549" s="2">
        <f>YEAR(A549)</f>
        <v>2019</v>
      </c>
    </row>
    <row r="551" spans="1:3">
      <c r="A551" s="2"/>
      <c r="B551" s="3" t="s">
        <v>390</v>
      </c>
      <c r="C551" s="2"/>
    </row>
    <row r="552" spans="1:3">
      <c r="A552" s="2" t="s">
        <v>360</v>
      </c>
      <c r="B552" s="2" t="s">
        <v>361</v>
      </c>
      <c r="C552" s="3" t="s">
        <v>337</v>
      </c>
    </row>
    <row r="553" spans="1:3">
      <c r="A553" s="55">
        <v>42370</v>
      </c>
      <c r="B553" s="55">
        <v>42461</v>
      </c>
      <c r="C553" s="2">
        <f>YEARFRAC(A553,B553)</f>
        <v>0.25</v>
      </c>
    </row>
    <row r="554" spans="1:3">
      <c r="A554" s="55">
        <v>42005</v>
      </c>
      <c r="B554" s="55">
        <v>42359</v>
      </c>
      <c r="C554" s="62">
        <f t="shared" ref="C554:C555" si="35">YEARFRAC(A554,B554)</f>
        <v>0.97222222222222221</v>
      </c>
    </row>
    <row r="555" spans="1:3">
      <c r="A555" s="55">
        <v>42370</v>
      </c>
      <c r="B555" s="55">
        <v>42460</v>
      </c>
      <c r="C555" s="2">
        <f t="shared" si="35"/>
        <v>0.25</v>
      </c>
    </row>
  </sheetData>
  <dataValidations count="1">
    <dataValidation type="list" allowBlank="1" showInputMessage="1" showErrorMessage="1" sqref="E73" xr:uid="{7D2A533E-7062-46C2-85DF-B75DF138D6DE}">
      <formula1>$D$69:$D$71</formula1>
    </dataValidation>
  </dataValidations>
  <hyperlinks>
    <hyperlink ref="A196" r:id="rId1" xr:uid="{58BB2FA0-476B-476B-A120-ABCD9814E2B2}"/>
    <hyperlink ref="A197" r:id="rId2" xr:uid="{F5D04DD5-9B06-4EB7-9AC5-64DBCCEABDC6}"/>
    <hyperlink ref="A198" r:id="rId3" xr:uid="{0EF1CC9F-623E-490B-B863-661B0FC528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2025-07-30T10:16:22Z</dcterms:created>
  <dcterms:modified xsi:type="dcterms:W3CDTF">2025-08-02T12:14:45Z</dcterms:modified>
  <cp:category/>
  <cp:contentStatus/>
</cp:coreProperties>
</file>